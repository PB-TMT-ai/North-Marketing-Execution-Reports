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750871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6" i="1" l="1"/>
  <c r="N25" i="1"/>
  <c r="P11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<sst xmlns="http://schemas.openxmlformats.org/spreadsheetml/2006/main" count="199" uniqueCount="140">
  <si>
    <t>S.No</t>
  </si>
  <si>
    <t>SM/TM Name</t>
  </si>
  <si>
    <t>District</t>
  </si>
  <si>
    <t>Stockist Name</t>
  </si>
  <si>
    <t>SUBDEALER NAME</t>
  </si>
  <si>
    <t>Subdealer Location</t>
  </si>
  <si>
    <t>Subdealer Mobile No.</t>
  </si>
  <si>
    <t>Current Brands Associated</t>
  </si>
  <si>
    <t>Address</t>
  </si>
  <si>
    <t>GST No</t>
  </si>
  <si>
    <t>SHIV KUMAR</t>
  </si>
  <si>
    <t>BIJNOR</t>
  </si>
  <si>
    <t>POOJA HARDWARE &amp; STEEL CO.</t>
  </si>
  <si>
    <t>KISAN TRADERS</t>
  </si>
  <si>
    <t xml:space="preserve">VILL-GANJ </t>
  </si>
  <si>
    <t>ASEEM SHAKTI</t>
  </si>
  <si>
    <t>Vill- Ganj , Near Pinjab National Bank,Bijnor</t>
  </si>
  <si>
    <t>09EAMPK2840L1ZA</t>
  </si>
  <si>
    <t>OPP,Surya Banquet Hall,Nainital Road, Koharapeer ,Bareilly</t>
  </si>
  <si>
    <t>09ABIPK2966Q1ZT</t>
  </si>
  <si>
    <t>ARIHANT CEMENT STORE</t>
  </si>
  <si>
    <t>KIRATPUR</t>
  </si>
  <si>
    <t>OPP.Milan Talkies, Najibabad Road ,Kiratpur</t>
  </si>
  <si>
    <t>09AFWPJ8179A1ZW</t>
  </si>
  <si>
    <t>SAHARANPUR</t>
  </si>
  <si>
    <t>GABA TRADING CO.</t>
  </si>
  <si>
    <t>SHRI DURGA TRADERS</t>
  </si>
  <si>
    <t>TEHRI/RANA /OTHER</t>
  </si>
  <si>
    <t>OPP, Vikas Bhawan Delhi Road Saharanpur</t>
  </si>
  <si>
    <t>09CHBPM1808A1ZU</t>
  </si>
  <si>
    <t>KARANWAL STEEL TRADERS</t>
  </si>
  <si>
    <t>DEOBAND</t>
  </si>
  <si>
    <t>Manglore Road Deoband</t>
  </si>
  <si>
    <t>09CLQPS3497E1ZB</t>
  </si>
  <si>
    <t>AMAR CEMENT STORE</t>
  </si>
  <si>
    <t>TITRO</t>
  </si>
  <si>
    <t>Near Bus Stand ,Main Road Titro</t>
  </si>
  <si>
    <t>09DFNPS2822M1ZQ</t>
  </si>
  <si>
    <t>DIVYANSH DHAWAL</t>
  </si>
  <si>
    <t>PYRAYAGRAJ</t>
  </si>
  <si>
    <t>RAMESH ENTERPRISES</t>
  </si>
  <si>
    <t>RUDRA ENTERPRISES</t>
  </si>
  <si>
    <t>PRAYAGRAJ</t>
  </si>
  <si>
    <t>SRMB,JSW ONE,KAMDHENU,OTHER(DURGAPUR)</t>
  </si>
  <si>
    <t>83L/9EA-3,00,BHOLA KA PURA,UTTAR PRADESH-211011</t>
  </si>
  <si>
    <t>09DAVPK7277M1ZH</t>
  </si>
  <si>
    <t>DEEPANSHU</t>
  </si>
  <si>
    <t>HARDOI</t>
  </si>
  <si>
    <t>NARAYAN ENTERPRISES</t>
  </si>
  <si>
    <t>LAXMI TRADERS</t>
  </si>
  <si>
    <t>KASIMPUR SANDILA</t>
  </si>
  <si>
    <t>KAMDHENU, LOCAL</t>
  </si>
  <si>
    <t xml:space="preserve">Sadar Bazar Behander  Kasimpur Sandila </t>
  </si>
  <si>
    <t>09AVKPG6113H1ZM</t>
  </si>
  <si>
    <t>VARANASI</t>
  </si>
  <si>
    <t>MISHRA BUILDING SOLUTION</t>
  </si>
  <si>
    <t>Kshitij Enterprises</t>
  </si>
  <si>
    <t>Varanasi</t>
  </si>
  <si>
    <t>A 6/176-R-B,Shankarpuram colony,akhta,benipur,sarnath,varanasi-221007</t>
  </si>
  <si>
    <t>09CXJPS1804A1ZN</t>
  </si>
  <si>
    <t>Deepanshu</t>
  </si>
  <si>
    <t>Sitapur</t>
  </si>
  <si>
    <t>Nirmal Kumar Jain &amp; Co.</t>
  </si>
  <si>
    <t>SHRI RANI SATI IRON SUPPLIERS</t>
  </si>
  <si>
    <t>Local tmt, Kamdhenu</t>
  </si>
  <si>
    <t>Station road, Maal Godam ,Sitapur</t>
  </si>
  <si>
    <t>09ADNPL2136J1ZB</t>
  </si>
  <si>
    <t>Ayodhya</t>
  </si>
  <si>
    <t>Shree Ram enterprises</t>
  </si>
  <si>
    <t>S S Enterprises</t>
  </si>
  <si>
    <t>Milkipur Khajurahat road Ayodhya</t>
  </si>
  <si>
    <t>Gallantt, Appollo</t>
  </si>
  <si>
    <t>Bilari maafi near Vanshvanpur Bikapur Ayodhya</t>
  </si>
  <si>
    <t>09CDUPP4079H1ZP</t>
  </si>
  <si>
    <t>Lucknow</t>
  </si>
  <si>
    <t>Amay Enterprises</t>
  </si>
  <si>
    <t>Hardoi</t>
  </si>
  <si>
    <t>Sigma Griplock, Local TMT</t>
  </si>
  <si>
    <t>Vibhuti Nagar Bilgram Chungi Hardoi</t>
  </si>
  <si>
    <t>09BAWPS2813L2ZV</t>
  </si>
  <si>
    <t>Pankaj Garg</t>
  </si>
  <si>
    <t>Agra</t>
  </si>
  <si>
    <t>Singhal Enterprises</t>
  </si>
  <si>
    <t>Dinesh Cement Agency</t>
  </si>
  <si>
    <t>Shyam Steel</t>
  </si>
  <si>
    <t>Kukatai, Sadabad Agra Road, Hathras</t>
  </si>
  <si>
    <t>09AQYPV5848H1ZN</t>
  </si>
  <si>
    <t>Balaji Cement Agency</t>
  </si>
  <si>
    <t>Tata, Amma</t>
  </si>
  <si>
    <t xml:space="preserve"> Jain Nagar, Bah, Agra</t>
  </si>
  <si>
    <t>09COOPS9664A1ZA</t>
  </si>
  <si>
    <t>R S Building Material</t>
  </si>
  <si>
    <t>Amma</t>
  </si>
  <si>
    <t>Plot No. 1, Khasra No. 538, Abhaypura, Dhanauli, Malpura, Agra</t>
  </si>
  <si>
    <t>09BECPT2784K1ZV</t>
  </si>
  <si>
    <t>Rathor Building Material</t>
  </si>
  <si>
    <t>Panther,Kamdhenu</t>
  </si>
  <si>
    <t>Mayapura Kalal Kheria, Ftehabad Road, Agra</t>
  </si>
  <si>
    <t>09AJIPR6812L1ZM</t>
  </si>
  <si>
    <t>Mathura</t>
  </si>
  <si>
    <t>Jai Durga Iron</t>
  </si>
  <si>
    <t>Bansal Steel</t>
  </si>
  <si>
    <t>Panther</t>
  </si>
  <si>
    <t>1 Atla Chungi, Mathura Road, Vrindavan, Mathura</t>
  </si>
  <si>
    <t>09AAVPA2967M3ZX</t>
  </si>
  <si>
    <t>Moradabad</t>
  </si>
  <si>
    <t>SINGHAL IRON AND HOUSING SOLUTIONS</t>
  </si>
  <si>
    <t>Gopal Iron Store</t>
  </si>
  <si>
    <t>Siddhbali/Other/Aseem shakti</t>
  </si>
  <si>
    <t>15,College Market,Galshaheed Road ,Moradabad,244001</t>
  </si>
  <si>
    <t>09ABHPA6336K1Z4</t>
  </si>
  <si>
    <t>R.N Enterprises</t>
  </si>
  <si>
    <t>Near Bank of India,Delhi Road Pakbara,MDB</t>
  </si>
  <si>
    <t>09AUFPG1897E1ZI</t>
  </si>
  <si>
    <t>Bareilly</t>
  </si>
  <si>
    <t>Khandelwal Bath Decor</t>
  </si>
  <si>
    <t>ARVIND STEEL &amp; CEMENT SUPPLIERS</t>
  </si>
  <si>
    <t>KVS &amp; OTHER</t>
  </si>
  <si>
    <t>BALAJI ENTERPRISES</t>
  </si>
  <si>
    <t>Bisalpur Road Harunnagla ,Bareilly</t>
  </si>
  <si>
    <t>09AOYPK0021P1ZE</t>
  </si>
  <si>
    <t>TRIMURTI ENTERPRISES</t>
  </si>
  <si>
    <t>Subhash Nagar ,Badaun Road</t>
  </si>
  <si>
    <t>09EWHPS0413L1Z7</t>
  </si>
  <si>
    <t>MAHADEV ENTERPRISES</t>
  </si>
  <si>
    <t>KVS &amp; OTHER  &amp; TATA</t>
  </si>
  <si>
    <t>Badaun Road</t>
  </si>
  <si>
    <t>09AHJPG5453F1ZB</t>
  </si>
  <si>
    <t>Chandauli</t>
  </si>
  <si>
    <t>Sujata Associates</t>
  </si>
  <si>
    <t>SANTOSH WELDING WORKS &amp; MONU BUILDING MATERIAL</t>
  </si>
  <si>
    <t>Govinda,JSW One</t>
  </si>
  <si>
    <t>House No. 1/376, Sahityanaka, Ramnagar, Varanasi</t>
  </si>
  <si>
    <t>09AQQPM1543A1ZY</t>
  </si>
  <si>
    <t>W</t>
  </si>
  <si>
    <t>H</t>
  </si>
  <si>
    <t>Cost</t>
  </si>
  <si>
    <t>Total</t>
  </si>
  <si>
    <t>SLRM</t>
  </si>
  <si>
    <t>ACP Boards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</si>
</sst>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Calibri"/>
      <family val="2"/>
    </font>
    <font>
      <sz val="10"/>
      <color rgb="FF181818"/>
      <name val="Calibri"/>
      <family val="2"/>
    </font>
    <font>
      <sz val="11"/>
      <color rgb="FF00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82CAEC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  <xf numFmtId="0" fontId="2" fillId="3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3" xfId="0" applyFont="1" applyFill="1" applyBorder="1" applyAlignment="1">
      <alignment horizontal="left"/>
    </xf>
    <xf numFmtId="0" fontId="3" fillId="4" borderId="3" xfId="0" applyFont="1" applyFill="1" applyBorder="1" applyAlignment="1">
      <alignment horizontal="left" wrapText="1"/>
    </xf>
    <xf numFmtId="0" fontId="3" fillId="4" borderId="7" xfId="0" applyFont="1" applyFill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3" borderId="8" xfId="0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3" xfId="0" applyFont="1" applyFill="1" applyBorder="1"/>
    <xf numFmtId="0" fontId="2" fillId="3" borderId="3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tel:8303288909" TargetMode="External"/><Relationship Id="rId1" Type="http://schemas.openxmlformats.org/officeDocument/2006/relationships/hyperlink" Target="https://jswoneplatforms.lightning.force.com/001J100000TsH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abSelected="1" topLeftCell="J13" workbookViewId="0">
      <selection activeCell="N21" sqref="N21"/>
    </sheetView>
  </sheetViews>
  <sheetFormatPr defaultRowHeight="14.5"/>
  <cols>
    <col min="1" max="1" width="6.26953125" customWidth="1"/>
    <col min="2" max="2" width="22.7265625" customWidth="1"/>
    <col min="3" max="3" width="15" bestFit="1" customWidth="1"/>
    <col min="4" max="4" width="42.81640625" bestFit="1" customWidth="1"/>
    <col min="5" max="5" width="54.1796875" bestFit="1" customWidth="1"/>
    <col min="6" max="6" width="30.453125" bestFit="1" customWidth="1"/>
    <col min="7" max="7" width="20.54296875" bestFit="1" customWidth="1"/>
    <col min="8" max="8" width="26.81640625" hidden="1" customWidth="1"/>
    <col min="9" max="9" width="52.1796875" style="19" customWidth="1"/>
    <col min="10" max="10" width="26.81640625" style="21" customWidth="1"/>
    <col min="11" max="11" width="9.26953125" bestFit="1" customWidth="1"/>
  </cols>
  <sheetData>
    <row r="1" spans="1:16">
      <c r="A1" s="3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22" t="s">
        <v>134</v>
      </c>
      <c r="L1" s="22" t="s">
        <v>135</v>
      </c>
      <c r="M1" s="22" t="s">
        <v>136</v>
      </c>
      <c r="N1" s="22" t="s">
        <v>137</v>
      </c>
    </row>
    <row r="2" spans="1:16" ht="20.149999999999999" customHeight="1">
      <c r="A2" s="9">
        <v>1</v>
      </c>
      <c r="B2" s="4" t="s">
        <v>10</v>
      </c>
      <c r="C2" s="4" t="s">
        <v>11</v>
      </c>
      <c r="D2" s="5" t="s">
        <v>12</v>
      </c>
      <c r="E2" s="10" t="s">
        <v>13</v>
      </c>
      <c r="F2" s="7" t="s">
        <v>14</v>
      </c>
      <c r="G2" s="7">
        <v>8923442222</v>
      </c>
      <c r="H2" s="7" t="s">
        <v>15</v>
      </c>
      <c r="I2" s="15" t="s">
        <v>16</v>
      </c>
      <c r="J2" s="23" t="s">
        <v>17</v>
      </c>
      <c r="K2" s="31">
        <v>10</v>
      </c>
      <c r="L2" s="31">
        <v>4</v>
      </c>
      <c r="M2" s="31">
        <v>42</v>
      </c>
      <c r="N2" s="31">
        <f>M2*L2*K2</f>
        <v>1680</v>
      </c>
    </row>
    <row r="3" spans="1:16" ht="20.149999999999999" customHeight="1">
      <c r="A3" s="9">
        <v>2</v>
      </c>
      <c r="B3" s="4" t="s">
        <v>10</v>
      </c>
      <c r="C3" s="4" t="s">
        <v>11</v>
      </c>
      <c r="D3" s="5" t="s">
        <v>12</v>
      </c>
      <c r="E3" s="10" t="s">
        <v>20</v>
      </c>
      <c r="F3" s="7" t="s">
        <v>21</v>
      </c>
      <c r="G3" s="7">
        <v>9997034113</v>
      </c>
      <c r="H3" s="7" t="s">
        <v>15</v>
      </c>
      <c r="I3" s="15" t="s">
        <v>22</v>
      </c>
      <c r="J3" s="24" t="s">
        <v>23</v>
      </c>
      <c r="K3" s="31">
        <v>10</v>
      </c>
      <c r="L3" s="31">
        <v>4</v>
      </c>
      <c r="M3" s="31">
        <v>42</v>
      </c>
      <c r="N3" s="31">
        <f t="shared" ref="N3:N25" si="0">M3*L3*K3</f>
        <v>1680</v>
      </c>
    </row>
    <row r="4" spans="1:16" ht="20.149999999999999" customHeight="1">
      <c r="A4" s="9">
        <v>3</v>
      </c>
      <c r="B4" s="4" t="s">
        <v>10</v>
      </c>
      <c r="C4" s="4" t="s">
        <v>24</v>
      </c>
      <c r="D4" s="6" t="s">
        <v>25</v>
      </c>
      <c r="E4" s="10" t="s">
        <v>26</v>
      </c>
      <c r="F4" s="7" t="s">
        <v>24</v>
      </c>
      <c r="G4" s="7">
        <v>9760081414</v>
      </c>
      <c r="H4" s="7" t="s">
        <v>27</v>
      </c>
      <c r="I4" s="15" t="s">
        <v>28</v>
      </c>
      <c r="J4" s="23" t="s">
        <v>29</v>
      </c>
      <c r="K4" s="31">
        <v>10</v>
      </c>
      <c r="L4" s="31">
        <v>4</v>
      </c>
      <c r="M4" s="31">
        <v>42</v>
      </c>
      <c r="N4" s="31">
        <f t="shared" si="0"/>
        <v>1680</v>
      </c>
    </row>
    <row r="5" spans="1:16" ht="20.149999999999999" customHeight="1">
      <c r="A5" s="9">
        <v>4</v>
      </c>
      <c r="B5" s="4" t="s">
        <v>10</v>
      </c>
      <c r="C5" s="4" t="s">
        <v>24</v>
      </c>
      <c r="D5" s="6" t="s">
        <v>25</v>
      </c>
      <c r="E5" s="10" t="s">
        <v>30</v>
      </c>
      <c r="F5" s="7" t="s">
        <v>31</v>
      </c>
      <c r="G5" s="7">
        <v>9917783787</v>
      </c>
      <c r="H5" s="7" t="s">
        <v>27</v>
      </c>
      <c r="I5" s="15" t="s">
        <v>32</v>
      </c>
      <c r="J5" s="23" t="s">
        <v>33</v>
      </c>
      <c r="K5" s="31">
        <v>10</v>
      </c>
      <c r="L5" s="31">
        <v>4</v>
      </c>
      <c r="M5" s="31">
        <v>42</v>
      </c>
      <c r="N5" s="31">
        <f t="shared" si="0"/>
        <v>1680</v>
      </c>
    </row>
    <row r="6" spans="1:16" ht="20.149999999999999" customHeight="1">
      <c r="A6" s="9">
        <v>5</v>
      </c>
      <c r="B6" s="4" t="s">
        <v>10</v>
      </c>
      <c r="C6" s="4" t="s">
        <v>24</v>
      </c>
      <c r="D6" s="6" t="s">
        <v>25</v>
      </c>
      <c r="E6" s="10" t="s">
        <v>34</v>
      </c>
      <c r="F6" s="7" t="s">
        <v>35</v>
      </c>
      <c r="G6" s="7">
        <v>9758026530</v>
      </c>
      <c r="H6" s="7" t="s">
        <v>27</v>
      </c>
      <c r="I6" s="15" t="s">
        <v>36</v>
      </c>
      <c r="J6" s="23" t="s">
        <v>37</v>
      </c>
      <c r="K6" s="31">
        <v>10</v>
      </c>
      <c r="L6" s="31">
        <v>4</v>
      </c>
      <c r="M6" s="31">
        <v>42</v>
      </c>
      <c r="N6" s="31">
        <f t="shared" si="0"/>
        <v>1680</v>
      </c>
    </row>
    <row r="7" spans="1:16" ht="42.5">
      <c r="A7" s="9">
        <v>6</v>
      </c>
      <c r="B7" s="5" t="s">
        <v>38</v>
      </c>
      <c r="C7" s="6" t="s">
        <v>39</v>
      </c>
      <c r="D7" s="6" t="s">
        <v>40</v>
      </c>
      <c r="E7" s="10" t="s">
        <v>41</v>
      </c>
      <c r="F7" s="7" t="s">
        <v>42</v>
      </c>
      <c r="G7" s="7">
        <v>9559178552</v>
      </c>
      <c r="H7" s="9" t="s">
        <v>43</v>
      </c>
      <c r="I7" s="8" t="s">
        <v>44</v>
      </c>
      <c r="J7" s="23" t="s">
        <v>45</v>
      </c>
      <c r="K7" s="31">
        <v>10</v>
      </c>
      <c r="L7" s="31">
        <v>4</v>
      </c>
      <c r="M7" s="31">
        <v>42</v>
      </c>
      <c r="N7" s="31">
        <f t="shared" si="0"/>
        <v>1680</v>
      </c>
    </row>
    <row r="8" spans="1:16" ht="20.149999999999999" customHeight="1">
      <c r="A8" s="9">
        <v>7</v>
      </c>
      <c r="B8" s="6" t="s">
        <v>46</v>
      </c>
      <c r="C8" s="6" t="s">
        <v>47</v>
      </c>
      <c r="D8" s="6" t="s">
        <v>48</v>
      </c>
      <c r="E8" s="10" t="s">
        <v>49</v>
      </c>
      <c r="F8" s="7" t="s">
        <v>50</v>
      </c>
      <c r="G8" s="7">
        <v>9918678701</v>
      </c>
      <c r="H8" s="7" t="s">
        <v>51</v>
      </c>
      <c r="I8" s="8" t="s">
        <v>52</v>
      </c>
      <c r="J8" s="25" t="s">
        <v>53</v>
      </c>
      <c r="K8" s="31">
        <v>10</v>
      </c>
      <c r="L8" s="31">
        <v>4</v>
      </c>
      <c r="M8" s="31">
        <v>42</v>
      </c>
      <c r="N8" s="31">
        <f t="shared" si="0"/>
        <v>1680</v>
      </c>
    </row>
    <row r="9" spans="1:16" ht="27.75" customHeight="1">
      <c r="A9" s="9">
        <v>8</v>
      </c>
      <c r="B9" s="5" t="s">
        <v>38</v>
      </c>
      <c r="C9" s="6" t="s">
        <v>54</v>
      </c>
      <c r="D9" s="6" t="s">
        <v>55</v>
      </c>
      <c r="E9" s="10" t="s">
        <v>56</v>
      </c>
      <c r="F9" s="7" t="s">
        <v>57</v>
      </c>
      <c r="G9" s="7">
        <v>9793840001</v>
      </c>
      <c r="H9" s="7"/>
      <c r="I9" s="8" t="s">
        <v>58</v>
      </c>
      <c r="J9" s="25" t="s">
        <v>59</v>
      </c>
      <c r="K9" s="31">
        <v>10</v>
      </c>
      <c r="L9" s="31">
        <v>4</v>
      </c>
      <c r="M9" s="31">
        <v>42</v>
      </c>
      <c r="N9" s="31">
        <f t="shared" si="0"/>
        <v>1680</v>
      </c>
    </row>
    <row r="10" spans="1:16" ht="20.149999999999999" customHeight="1">
      <c r="A10" s="9">
        <v>9</v>
      </c>
      <c r="B10" s="4" t="s">
        <v>60</v>
      </c>
      <c r="C10" s="4" t="s">
        <v>61</v>
      </c>
      <c r="D10" s="6" t="s">
        <v>62</v>
      </c>
      <c r="E10" s="10" t="s">
        <v>63</v>
      </c>
      <c r="F10" s="7" t="s">
        <v>61</v>
      </c>
      <c r="G10" s="7">
        <v>9415084791</v>
      </c>
      <c r="H10" s="7" t="s">
        <v>64</v>
      </c>
      <c r="I10" s="4" t="s">
        <v>65</v>
      </c>
      <c r="J10" s="25" t="s">
        <v>66</v>
      </c>
      <c r="K10" s="31">
        <v>10</v>
      </c>
      <c r="L10" s="31">
        <v>4</v>
      </c>
      <c r="M10" s="31">
        <v>42</v>
      </c>
      <c r="N10" s="31">
        <f t="shared" si="0"/>
        <v>1680</v>
      </c>
    </row>
    <row r="11" spans="1:16" ht="36" customHeight="1">
      <c r="A11" s="9">
        <v>10</v>
      </c>
      <c r="B11" s="4" t="s">
        <v>60</v>
      </c>
      <c r="C11" s="4" t="s">
        <v>67</v>
      </c>
      <c r="D11" s="6" t="s">
        <v>68</v>
      </c>
      <c r="E11" s="10" t="s">
        <v>69</v>
      </c>
      <c r="F11" s="7" t="s">
        <v>70</v>
      </c>
      <c r="G11" s="7">
        <v>6386120615</v>
      </c>
      <c r="H11" s="7" t="s">
        <v>71</v>
      </c>
      <c r="I11" s="8" t="s">
        <v>72</v>
      </c>
      <c r="J11" s="25" t="s">
        <v>73</v>
      </c>
      <c r="K11" s="31">
        <v>10</v>
      </c>
      <c r="L11" s="31">
        <v>4</v>
      </c>
      <c r="M11" s="31">
        <v>42</v>
      </c>
      <c r="N11" s="31">
        <f t="shared" si="0"/>
        <v>1680</v>
      </c>
      <c r="P11">
        <f>1008-42</f>
        <v>966</v>
      </c>
    </row>
    <row r="12" spans="1:16" ht="20.149999999999999" customHeight="1">
      <c r="A12" s="9">
        <v>11</v>
      </c>
      <c r="B12" s="4" t="s">
        <v>60</v>
      </c>
      <c r="C12" s="4" t="s">
        <v>74</v>
      </c>
      <c r="D12" s="6" t="s">
        <v>62</v>
      </c>
      <c r="E12" s="10" t="s">
        <v>75</v>
      </c>
      <c r="F12" s="7" t="s">
        <v>76</v>
      </c>
      <c r="G12" s="7">
        <v>9415149742</v>
      </c>
      <c r="H12" s="7" t="s">
        <v>77</v>
      </c>
      <c r="I12" s="4" t="s">
        <v>78</v>
      </c>
      <c r="J12" s="25" t="s">
        <v>79</v>
      </c>
      <c r="K12" s="31">
        <v>10</v>
      </c>
      <c r="L12" s="31">
        <v>4</v>
      </c>
      <c r="M12" s="31">
        <v>42</v>
      </c>
      <c r="N12" s="31">
        <f t="shared" si="0"/>
        <v>1680</v>
      </c>
    </row>
    <row r="13" spans="1:16" ht="20.149999999999999" customHeight="1">
      <c r="A13" s="9">
        <v>12</v>
      </c>
      <c r="B13" s="4" t="s">
        <v>80</v>
      </c>
      <c r="C13" s="4" t="s">
        <v>81</v>
      </c>
      <c r="D13" s="6" t="s">
        <v>82</v>
      </c>
      <c r="E13" s="10" t="s">
        <v>83</v>
      </c>
      <c r="F13" s="7" t="s">
        <v>81</v>
      </c>
      <c r="G13" s="7">
        <v>9259595209</v>
      </c>
      <c r="H13" s="7" t="s">
        <v>84</v>
      </c>
      <c r="I13" s="4" t="s">
        <v>85</v>
      </c>
      <c r="J13" s="25" t="s">
        <v>86</v>
      </c>
      <c r="K13" s="31">
        <v>10</v>
      </c>
      <c r="L13" s="31">
        <v>4</v>
      </c>
      <c r="M13" s="31">
        <v>42</v>
      </c>
      <c r="N13" s="31">
        <f t="shared" si="0"/>
        <v>1680</v>
      </c>
    </row>
    <row r="14" spans="1:16" ht="20.149999999999999" customHeight="1">
      <c r="A14" s="9">
        <v>13</v>
      </c>
      <c r="B14" s="4" t="s">
        <v>80</v>
      </c>
      <c r="C14" s="4" t="s">
        <v>81</v>
      </c>
      <c r="D14" s="6" t="s">
        <v>82</v>
      </c>
      <c r="E14" s="10" t="s">
        <v>87</v>
      </c>
      <c r="F14" s="7" t="s">
        <v>81</v>
      </c>
      <c r="G14" s="7">
        <v>9536413151</v>
      </c>
      <c r="H14" s="7" t="s">
        <v>88</v>
      </c>
      <c r="I14" s="4" t="s">
        <v>89</v>
      </c>
      <c r="J14" s="25" t="s">
        <v>90</v>
      </c>
      <c r="K14" s="31">
        <v>10</v>
      </c>
      <c r="L14" s="31">
        <v>4</v>
      </c>
      <c r="M14" s="31">
        <v>42</v>
      </c>
      <c r="N14" s="31">
        <f t="shared" si="0"/>
        <v>1680</v>
      </c>
    </row>
    <row r="15" spans="1:16" ht="35.25" customHeight="1">
      <c r="A15" s="9">
        <v>14</v>
      </c>
      <c r="B15" s="4" t="s">
        <v>80</v>
      </c>
      <c r="C15" s="4" t="s">
        <v>81</v>
      </c>
      <c r="D15" s="6" t="s">
        <v>82</v>
      </c>
      <c r="E15" s="10" t="s">
        <v>91</v>
      </c>
      <c r="F15" s="7" t="s">
        <v>81</v>
      </c>
      <c r="G15" s="7">
        <v>8077142593</v>
      </c>
      <c r="H15" s="7" t="s">
        <v>92</v>
      </c>
      <c r="I15" s="8" t="s">
        <v>93</v>
      </c>
      <c r="J15" s="25" t="s">
        <v>94</v>
      </c>
      <c r="K15" s="31">
        <v>10</v>
      </c>
      <c r="L15" s="31">
        <v>4</v>
      </c>
      <c r="M15" s="31">
        <v>42</v>
      </c>
      <c r="N15" s="31">
        <f t="shared" si="0"/>
        <v>1680</v>
      </c>
    </row>
    <row r="16" spans="1:16" ht="20.149999999999999" customHeight="1">
      <c r="A16" s="9">
        <v>15</v>
      </c>
      <c r="B16" s="4" t="s">
        <v>80</v>
      </c>
      <c r="C16" s="4" t="s">
        <v>81</v>
      </c>
      <c r="D16" s="6" t="s">
        <v>82</v>
      </c>
      <c r="E16" s="10" t="s">
        <v>95</v>
      </c>
      <c r="F16" s="7" t="s">
        <v>81</v>
      </c>
      <c r="G16" s="7">
        <v>9719161648</v>
      </c>
      <c r="H16" s="7" t="s">
        <v>96</v>
      </c>
      <c r="I16" s="4" t="s">
        <v>97</v>
      </c>
      <c r="J16" s="25" t="s">
        <v>98</v>
      </c>
      <c r="K16" s="31">
        <v>10</v>
      </c>
      <c r="L16" s="31">
        <v>4</v>
      </c>
      <c r="M16" s="31">
        <v>42</v>
      </c>
      <c r="N16" s="31">
        <f t="shared" si="0"/>
        <v>1680</v>
      </c>
    </row>
    <row r="17" spans="1:14" ht="20.149999999999999" customHeight="1">
      <c r="A17" s="9">
        <v>16</v>
      </c>
      <c r="B17" s="4" t="s">
        <v>80</v>
      </c>
      <c r="C17" s="4" t="s">
        <v>99</v>
      </c>
      <c r="D17" s="6" t="s">
        <v>100</v>
      </c>
      <c r="E17" s="10" t="s">
        <v>101</v>
      </c>
      <c r="F17" s="7" t="s">
        <v>99</v>
      </c>
      <c r="G17" s="7">
        <v>8859669728</v>
      </c>
      <c r="H17" s="7" t="s">
        <v>102</v>
      </c>
      <c r="I17" s="4" t="s">
        <v>103</v>
      </c>
      <c r="J17" s="25" t="s">
        <v>104</v>
      </c>
      <c r="K17" s="31">
        <v>10</v>
      </c>
      <c r="L17" s="31">
        <v>4</v>
      </c>
      <c r="M17" s="31">
        <v>42</v>
      </c>
      <c r="N17" s="31">
        <f t="shared" si="0"/>
        <v>1680</v>
      </c>
    </row>
    <row r="18" spans="1:14" ht="20.149999999999999" customHeight="1">
      <c r="A18" s="9">
        <v>17</v>
      </c>
      <c r="B18" s="4" t="s">
        <v>10</v>
      </c>
      <c r="C18" s="4" t="s">
        <v>105</v>
      </c>
      <c r="D18" s="6" t="s">
        <v>106</v>
      </c>
      <c r="E18" s="10" t="s">
        <v>107</v>
      </c>
      <c r="F18" s="7" t="s">
        <v>105</v>
      </c>
      <c r="G18" s="7">
        <v>9837032980</v>
      </c>
      <c r="H18" s="7" t="s">
        <v>108</v>
      </c>
      <c r="I18" s="16" t="s">
        <v>109</v>
      </c>
      <c r="J18" s="23" t="s">
        <v>110</v>
      </c>
      <c r="K18" s="31">
        <v>10</v>
      </c>
      <c r="L18" s="31">
        <v>4</v>
      </c>
      <c r="M18" s="31">
        <v>42</v>
      </c>
      <c r="N18" s="31">
        <f t="shared" si="0"/>
        <v>1680</v>
      </c>
    </row>
    <row r="19" spans="1:14" ht="20.149999999999999" customHeight="1">
      <c r="A19" s="9">
        <v>18</v>
      </c>
      <c r="B19" s="4" t="s">
        <v>10</v>
      </c>
      <c r="C19" s="4" t="s">
        <v>105</v>
      </c>
      <c r="D19" s="6" t="s">
        <v>106</v>
      </c>
      <c r="E19" s="13" t="s">
        <v>111</v>
      </c>
      <c r="F19" s="14" t="s">
        <v>105</v>
      </c>
      <c r="G19" s="14">
        <v>9927113755</v>
      </c>
      <c r="H19" s="7" t="s">
        <v>108</v>
      </c>
      <c r="I19" s="17" t="s">
        <v>112</v>
      </c>
      <c r="J19" s="26" t="s">
        <v>113</v>
      </c>
      <c r="K19" s="31">
        <v>10</v>
      </c>
      <c r="L19" s="31">
        <v>4</v>
      </c>
      <c r="M19" s="31">
        <v>42</v>
      </c>
      <c r="N19" s="31">
        <f t="shared" si="0"/>
        <v>1680</v>
      </c>
    </row>
    <row r="20" spans="1:14" ht="20.149999999999999" customHeight="1">
      <c r="A20" s="9">
        <v>19</v>
      </c>
      <c r="B20" s="4" t="s">
        <v>10</v>
      </c>
      <c r="C20" s="4" t="s">
        <v>114</v>
      </c>
      <c r="D20" s="11" t="s">
        <v>115</v>
      </c>
      <c r="E20" s="10" t="s">
        <v>116</v>
      </c>
      <c r="F20" s="7" t="s">
        <v>114</v>
      </c>
      <c r="G20" s="7">
        <v>9837634393</v>
      </c>
      <c r="H20" s="12" t="s">
        <v>117</v>
      </c>
      <c r="I20" s="8" t="s">
        <v>18</v>
      </c>
      <c r="J20" s="25" t="s">
        <v>19</v>
      </c>
      <c r="K20" s="31">
        <v>10</v>
      </c>
      <c r="L20" s="31">
        <v>4</v>
      </c>
      <c r="M20" s="31">
        <v>42</v>
      </c>
      <c r="N20" s="31">
        <f t="shared" si="0"/>
        <v>1680</v>
      </c>
    </row>
    <row r="21" spans="1:14" ht="20.149999999999999" customHeight="1">
      <c r="A21" s="9">
        <v>20</v>
      </c>
      <c r="B21" s="4" t="s">
        <v>10</v>
      </c>
      <c r="C21" s="4" t="s">
        <v>114</v>
      </c>
      <c r="D21" s="11" t="s">
        <v>115</v>
      </c>
      <c r="E21" s="10" t="s">
        <v>118</v>
      </c>
      <c r="F21" s="7" t="s">
        <v>114</v>
      </c>
      <c r="G21" s="7">
        <v>9412345626</v>
      </c>
      <c r="H21" s="12" t="s">
        <v>117</v>
      </c>
      <c r="I21" s="18" t="s">
        <v>119</v>
      </c>
      <c r="J21" s="20" t="s">
        <v>120</v>
      </c>
      <c r="K21" s="31">
        <v>10</v>
      </c>
      <c r="L21" s="31">
        <v>4</v>
      </c>
      <c r="M21" s="31">
        <v>42</v>
      </c>
      <c r="N21" s="31">
        <f t="shared" si="0"/>
        <v>1680</v>
      </c>
    </row>
    <row r="22" spans="1:14" ht="20.149999999999999" customHeight="1">
      <c r="A22" s="9">
        <v>21</v>
      </c>
      <c r="B22" s="4" t="s">
        <v>10</v>
      </c>
      <c r="C22" s="4" t="s">
        <v>114</v>
      </c>
      <c r="D22" s="11" t="s">
        <v>115</v>
      </c>
      <c r="E22" s="10" t="s">
        <v>121</v>
      </c>
      <c r="F22" s="7" t="s">
        <v>114</v>
      </c>
      <c r="G22" s="7">
        <v>9837088264</v>
      </c>
      <c r="H22" s="12" t="s">
        <v>117</v>
      </c>
      <c r="I22" s="18" t="s">
        <v>122</v>
      </c>
      <c r="J22" s="27" t="s">
        <v>123</v>
      </c>
      <c r="K22" s="31">
        <v>10</v>
      </c>
      <c r="L22" s="31">
        <v>4</v>
      </c>
      <c r="M22" s="31">
        <v>42</v>
      </c>
      <c r="N22" s="31">
        <f t="shared" si="0"/>
        <v>1680</v>
      </c>
    </row>
    <row r="23" spans="1:14" ht="20.149999999999999" customHeight="1">
      <c r="A23" s="9">
        <v>22</v>
      </c>
      <c r="B23" s="4" t="s">
        <v>10</v>
      </c>
      <c r="C23" s="4" t="s">
        <v>114</v>
      </c>
      <c r="D23" s="11" t="s">
        <v>115</v>
      </c>
      <c r="E23" s="10" t="s">
        <v>124</v>
      </c>
      <c r="F23" s="7" t="s">
        <v>114</v>
      </c>
      <c r="G23" s="7">
        <v>9458423888</v>
      </c>
      <c r="H23" s="12" t="s">
        <v>125</v>
      </c>
      <c r="I23" s="18" t="s">
        <v>126</v>
      </c>
      <c r="J23" s="28" t="s">
        <v>127</v>
      </c>
      <c r="K23" s="31">
        <v>10</v>
      </c>
      <c r="L23" s="31">
        <v>4</v>
      </c>
      <c r="M23" s="31">
        <v>42</v>
      </c>
      <c r="N23" s="31">
        <f t="shared" si="0"/>
        <v>1680</v>
      </c>
    </row>
    <row r="24" spans="1:14" ht="20.149999999999999" customHeight="1">
      <c r="A24" s="33">
        <v>23</v>
      </c>
      <c r="B24" s="34" t="s">
        <v>38</v>
      </c>
      <c r="C24" s="35" t="s">
        <v>128</v>
      </c>
      <c r="D24" s="36" t="s">
        <v>129</v>
      </c>
      <c r="E24" s="37" t="s">
        <v>130</v>
      </c>
      <c r="F24" s="38" t="s">
        <v>128</v>
      </c>
      <c r="G24" s="38">
        <v>8303288909</v>
      </c>
      <c r="H24" s="14" t="s">
        <v>131</v>
      </c>
      <c r="I24" s="39" t="s">
        <v>132</v>
      </c>
      <c r="J24" s="40" t="s">
        <v>133</v>
      </c>
      <c r="K24" s="41">
        <v>10</v>
      </c>
      <c r="L24" s="41">
        <v>4</v>
      </c>
      <c r="M24" s="41">
        <v>42</v>
      </c>
      <c r="N24" s="41">
        <f t="shared" si="0"/>
        <v>1680</v>
      </c>
    </row>
    <row r="25" spans="1:14">
      <c r="A25" s="29"/>
      <c r="B25" s="29"/>
      <c r="C25" s="29"/>
      <c r="D25" s="42" t="s">
        <v>138</v>
      </c>
      <c r="E25" s="43" t="s">
        <v>139</v>
      </c>
      <c r="F25" s="29"/>
      <c r="G25" s="29"/>
      <c r="H25" s="29"/>
      <c r="I25" s="30"/>
      <c r="J25" s="31"/>
      <c r="K25" s="44">
        <v>21</v>
      </c>
      <c r="L25" s="44">
        <v>4</v>
      </c>
      <c r="M25" s="44">
        <v>714</v>
      </c>
      <c r="N25" s="31">
        <f t="shared" si="0"/>
        <v>59976</v>
      </c>
    </row>
    <row r="26" spans="1:14">
      <c r="N26" s="32">
        <f>SUM(N2:N25)</f>
        <v>98616</v>
      </c>
    </row>
  </sheetData>
  <hyperlinks>
    <hyperlink ref="E24" r:id="rId1" display="https://jswoneplatforms.lightning.force.com/001J100000TsH99"/>
    <hyperlink ref="G24" r:id="rId2" display="tel:8303288909"/>
  </hyperlinks>
  <pageMargins left="0.7" right="0.7" top="0.75" bottom="0.75" header="0.3" footer="0.3"/>
  <pageSetup paperSize="9" orientation="portrait" horizontalDpi="30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JSW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Ajay Giri</dc:creator>
  <cp:keywords/>
  <dc:description/>
  <cp:lastModifiedBy>SANJEEV BHANDARI</cp:lastModifiedBy>
  <cp:revision/>
  <dcterms:created xsi:type="dcterms:W3CDTF">2025-07-08T07:39:32Z</dcterms:created>
  <dcterms:modified xsi:type="dcterms:W3CDTF">2026-03-20T11:08:20Z</dcterms:modified>
  <cp:category/>
  <cp:contentStatus/>
</cp:coreProperties>
</file>