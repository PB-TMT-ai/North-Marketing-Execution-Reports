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S92" i="1"/>
  <c r="V20"/>
  <c r="V19"/>
  <c r="V18"/>
  <c r="V17"/>
  <c r="V42"/>
  <c r="V41"/>
  <c r="V40"/>
  <c r="V39"/>
  <c r="V38"/>
  <c r="V37"/>
  <c r="V36"/>
  <c r="V35"/>
  <c r="V34"/>
  <c r="W34" s="1"/>
  <c r="V51"/>
  <c r="V50"/>
  <c r="V48"/>
  <c r="V44"/>
  <c r="W58"/>
  <c r="V67"/>
  <c r="V66"/>
  <c r="V65"/>
  <c r="V64"/>
  <c r="V63"/>
  <c r="V62"/>
  <c r="V61"/>
  <c r="V60"/>
  <c r="V59"/>
  <c r="V58"/>
  <c r="V57"/>
  <c r="V56"/>
  <c r="V55"/>
  <c r="V54"/>
  <c r="W54" s="1"/>
  <c r="W55" s="1"/>
  <c r="W56" s="1"/>
  <c r="W57" s="1"/>
  <c r="V53"/>
  <c r="V89"/>
  <c r="V88"/>
  <c r="V87"/>
  <c r="V84"/>
  <c r="V83"/>
  <c r="V82"/>
  <c r="V81"/>
  <c r="V80"/>
  <c r="V79"/>
  <c r="V78"/>
  <c r="V77"/>
  <c r="V76"/>
  <c r="V75"/>
  <c r="V74"/>
  <c r="V73"/>
  <c r="V72"/>
  <c r="V70"/>
  <c r="V69"/>
  <c r="V16"/>
  <c r="W16" s="1"/>
  <c r="V14"/>
  <c r="V13"/>
  <c r="V12"/>
  <c r="V11"/>
  <c r="V10"/>
  <c r="V9"/>
  <c r="V8"/>
  <c r="V7"/>
  <c r="V6"/>
  <c r="V5"/>
  <c r="V4"/>
  <c r="V3"/>
  <c r="V2"/>
  <c r="W2" s="1"/>
  <c r="W69"/>
  <c r="W53"/>
  <c r="V32"/>
  <c r="V31"/>
  <c r="V30"/>
  <c r="V29"/>
  <c r="V28"/>
  <c r="V27"/>
  <c r="V26"/>
  <c r="V25"/>
  <c r="V24"/>
  <c r="V23"/>
  <c r="V22"/>
  <c r="W22" s="1"/>
  <c r="W59" l="1"/>
  <c r="W60" s="1"/>
  <c r="W61" s="1"/>
  <c r="W62" s="1"/>
  <c r="W63" s="1"/>
  <c r="W64" s="1"/>
  <c r="W65" s="1"/>
  <c r="W66" s="1"/>
  <c r="W67" s="1"/>
  <c r="W17"/>
  <c r="W18" s="1"/>
  <c r="W19" s="1"/>
  <c r="W20" s="1"/>
  <c r="W70"/>
  <c r="W71" s="1"/>
  <c r="W72" s="1"/>
  <c r="W73" s="1"/>
  <c r="W74" s="1"/>
  <c r="W75" s="1"/>
  <c r="W76" s="1"/>
  <c r="W77" s="1"/>
  <c r="W78" s="1"/>
  <c r="W79" s="1"/>
  <c r="W80" s="1"/>
  <c r="W81" s="1"/>
  <c r="W82" s="1"/>
  <c r="W83" s="1"/>
  <c r="W84" s="1"/>
  <c r="W85" s="1"/>
  <c r="W86" s="1"/>
  <c r="W87" s="1"/>
  <c r="W88" s="1"/>
  <c r="W89" s="1"/>
  <c r="W35"/>
  <c r="W36" s="1"/>
  <c r="W37" s="1"/>
  <c r="W38" s="1"/>
  <c r="W39" s="1"/>
  <c r="W40" s="1"/>
  <c r="W41" s="1"/>
  <c r="W42" s="1"/>
  <c r="W3"/>
  <c r="W4" s="1"/>
  <c r="W5" s="1"/>
  <c r="W6" s="1"/>
  <c r="W7" s="1"/>
  <c r="W8" s="1"/>
  <c r="W9" s="1"/>
  <c r="W10" s="1"/>
  <c r="W11" s="1"/>
  <c r="W12" s="1"/>
  <c r="W13" s="1"/>
  <c r="W14" s="1"/>
  <c r="W23"/>
  <c r="W24" s="1"/>
  <c r="W25" s="1"/>
  <c r="W26" s="1"/>
  <c r="W27" s="1"/>
  <c r="W28" s="1"/>
  <c r="W29" s="1"/>
  <c r="W30" s="1"/>
  <c r="W31" s="1"/>
  <c r="W32" s="1"/>
  <c r="V92"/>
  <c r="W44"/>
  <c r="W45" s="1"/>
  <c r="W46" s="1"/>
  <c r="W47" s="1"/>
  <c r="W48" s="1"/>
  <c r="W49" s="1"/>
  <c r="W50" s="1"/>
  <c r="W51" s="1"/>
  <c r="W92" l="1"/>
</calcChain>
</file>

<file path=xl/sharedStrings.xml><?xml version="1.0" encoding="utf-8"?>
<sst xmlns="http://schemas.openxmlformats.org/spreadsheetml/2006/main" count="399" uniqueCount="127">
  <si>
    <t>Dealer/Area</t>
  </si>
  <si>
    <t>Dealer SF Account ID (Wherever Applicable)</t>
  </si>
  <si>
    <t>State</t>
  </si>
  <si>
    <t xml:space="preserve">City </t>
  </si>
  <si>
    <t>Contact No</t>
  </si>
  <si>
    <t>Location</t>
  </si>
  <si>
    <t>Site name</t>
  </si>
  <si>
    <t>Status</t>
  </si>
  <si>
    <t>Latitude</t>
  </si>
  <si>
    <t>Longitude</t>
  </si>
  <si>
    <t>Wall number</t>
  </si>
  <si>
    <t>Wall Tenure (in months)</t>
  </si>
  <si>
    <t>Rented/Free Wall</t>
  </si>
  <si>
    <t>Amount of Rent</t>
  </si>
  <si>
    <t>Execution Date</t>
  </si>
  <si>
    <t>Comment/Remarks</t>
  </si>
  <si>
    <t>Vendor name</t>
  </si>
  <si>
    <t>Planned Sq Ft</t>
  </si>
  <si>
    <t xml:space="preserve">Actual Sq ft </t>
  </si>
  <si>
    <t xml:space="preserve">Total Actual Sq ft </t>
  </si>
  <si>
    <t xml:space="preserve">JAGDAMBA STEEL </t>
  </si>
  <si>
    <t>KAITHAL</t>
  </si>
  <si>
    <t>KAITHAL ROAD CHIKA</t>
  </si>
  <si>
    <t>CHIKA</t>
  </si>
  <si>
    <t>30.32558°</t>
  </si>
  <si>
    <t>76.337136°</t>
  </si>
  <si>
    <t>SHOP 1</t>
  </si>
  <si>
    <t>22.05.2025</t>
  </si>
  <si>
    <t>30.37435°</t>
  </si>
  <si>
    <t>76.336188°</t>
  </si>
  <si>
    <t>SHOP 2</t>
  </si>
  <si>
    <t>30.37459°</t>
  </si>
  <si>
    <t>76.336362°</t>
  </si>
  <si>
    <t>SHOP 3</t>
  </si>
  <si>
    <t>30.03742°</t>
  </si>
  <si>
    <t>76.336287°</t>
  </si>
  <si>
    <t>SHOP 4</t>
  </si>
  <si>
    <t>30.37628°</t>
  </si>
  <si>
    <t>76.336324°</t>
  </si>
  <si>
    <t>SHOP 5</t>
  </si>
  <si>
    <t>30.37438°</t>
  </si>
  <si>
    <t>76.336376°</t>
  </si>
  <si>
    <t>SHOP 6</t>
  </si>
  <si>
    <t>76.336245°</t>
  </si>
  <si>
    <t>SHOP 7</t>
  </si>
  <si>
    <t>30.33583°</t>
  </si>
  <si>
    <t>76.336774°</t>
  </si>
  <si>
    <t>SHOP 8</t>
  </si>
  <si>
    <t>30.02448°</t>
  </si>
  <si>
    <t>76.338938°</t>
  </si>
  <si>
    <t>WALL 2</t>
  </si>
  <si>
    <t>18.05.2025</t>
  </si>
  <si>
    <t>30.03803°</t>
  </si>
  <si>
    <t>76.296088°</t>
  </si>
  <si>
    <t>WALL 3</t>
  </si>
  <si>
    <t>SURESH MITTAL &amp; SONS</t>
  </si>
  <si>
    <t>AMBALA</t>
  </si>
  <si>
    <t xml:space="preserve">SHAHZADPUR </t>
  </si>
  <si>
    <t>23.05.2025</t>
  </si>
  <si>
    <t>25.05.2025</t>
  </si>
  <si>
    <t xml:space="preserve">SHIVA TRADING COMPANY </t>
  </si>
  <si>
    <t>BARNALA</t>
  </si>
  <si>
    <t>30.394854°</t>
  </si>
  <si>
    <t>76.809204°</t>
  </si>
  <si>
    <t>28.05.2025</t>
  </si>
  <si>
    <t>30.394654°</t>
  </si>
  <si>
    <t>76.809172°</t>
  </si>
  <si>
    <t>30.394457°</t>
  </si>
  <si>
    <t>70.809226°</t>
  </si>
  <si>
    <t>30.394421°</t>
  </si>
  <si>
    <t>76.809221°</t>
  </si>
  <si>
    <t>29.05.2025</t>
  </si>
  <si>
    <t>30.394037°</t>
  </si>
  <si>
    <t>76.809397°</t>
  </si>
  <si>
    <t>30.393975°</t>
  </si>
  <si>
    <t>76.809376°</t>
  </si>
  <si>
    <t>30.393984°</t>
  </si>
  <si>
    <t>76.809277°</t>
  </si>
  <si>
    <t>30.394038°</t>
  </si>
  <si>
    <t>76.809054°</t>
  </si>
  <si>
    <t>30.05.2025</t>
  </si>
  <si>
    <t>30.393929°</t>
  </si>
  <si>
    <t>76.80906°</t>
  </si>
  <si>
    <t>TROLY 1</t>
  </si>
  <si>
    <t>30.39452°</t>
  </si>
  <si>
    <t>76.809199°</t>
  </si>
  <si>
    <t>SHOP 10</t>
  </si>
  <si>
    <t xml:space="preserve">VARDHMAN STEELS </t>
  </si>
  <si>
    <t>30-05-2025</t>
  </si>
  <si>
    <t>31-05-2025</t>
  </si>
  <si>
    <t>WALL 5</t>
  </si>
  <si>
    <t>WALL 6</t>
  </si>
  <si>
    <t>WALL 7</t>
  </si>
  <si>
    <t>WALL 8</t>
  </si>
  <si>
    <t>WALL 9</t>
  </si>
  <si>
    <t>SHIV SHAKTI TRADERS</t>
  </si>
  <si>
    <t>BARARA</t>
  </si>
  <si>
    <t>GARG ENTERPRISES</t>
  </si>
  <si>
    <t>SADHAURA</t>
  </si>
  <si>
    <t xml:space="preserve">YAMUNANAGAR </t>
  </si>
  <si>
    <t xml:space="preserve">SHOP </t>
  </si>
  <si>
    <t>WALL 10</t>
  </si>
  <si>
    <t>KAMAL ENTERPRISES</t>
  </si>
  <si>
    <t>JAGADHRI</t>
  </si>
  <si>
    <t>WALL 1</t>
  </si>
  <si>
    <t>15-06-2025</t>
  </si>
  <si>
    <t>16-06-2025</t>
  </si>
  <si>
    <t>17-06-2025</t>
  </si>
  <si>
    <t>18-06-2025</t>
  </si>
  <si>
    <t>SHOP 11</t>
  </si>
  <si>
    <t>20-06-2025</t>
  </si>
  <si>
    <t>SHOP 12</t>
  </si>
  <si>
    <t>SHOP 13</t>
  </si>
  <si>
    <t>SHOP 14</t>
  </si>
  <si>
    <t>SHOP 15</t>
  </si>
  <si>
    <t>SHOP 16</t>
  </si>
  <si>
    <t>SHOP 17</t>
  </si>
  <si>
    <t>SHOP 18</t>
  </si>
  <si>
    <t>SHOP 19</t>
  </si>
  <si>
    <t>SHOP 20</t>
  </si>
  <si>
    <t>S.N.</t>
  </si>
  <si>
    <t>SANGMESHWARE EVENT &amp; Promotions</t>
  </si>
  <si>
    <t>W</t>
  </si>
  <si>
    <t>F</t>
  </si>
  <si>
    <t>AMBALA CANTT</t>
  </si>
  <si>
    <t>HARYANA</t>
  </si>
  <si>
    <t>Grand Total</t>
  </si>
</sst>
</file>

<file path=xl/styles.xml><?xml version="1.0" encoding="utf-8"?>
<styleSheet xmlns="http://schemas.openxmlformats.org/spreadsheetml/2006/main">
  <numFmts count="1">
    <numFmt numFmtId="164" formatCode="mm\-dd\-yyyy"/>
  </numFmts>
  <fonts count="11">
    <font>
      <sz val="11"/>
      <color rgb="FF000000"/>
      <name val="Calibri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rgb="FFCCCCCC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72"/>
  <sheetViews>
    <sheetView showGridLines="0" tabSelected="1" topLeftCell="H1" workbookViewId="0">
      <pane ySplit="1" topLeftCell="A4" activePane="bottomLeft" state="frozen"/>
      <selection pane="bottomLeft" activeCell="W1" sqref="W1"/>
    </sheetView>
  </sheetViews>
  <sheetFormatPr defaultColWidth="14.42578125" defaultRowHeight="15" customHeight="1"/>
  <cols>
    <col min="1" max="1" width="8.7109375" customWidth="1"/>
    <col min="2" max="2" width="39" customWidth="1"/>
    <col min="3" max="3" width="9.5703125" hidden="1" customWidth="1"/>
    <col min="4" max="4" width="9.7109375" bestFit="1" customWidth="1"/>
    <col min="5" max="5" width="15.7109375" customWidth="1"/>
    <col min="6" max="6" width="13.140625" customWidth="1"/>
    <col min="7" max="7" width="24.5703125" customWidth="1"/>
    <col min="8" max="8" width="19.140625" customWidth="1"/>
    <col min="9" max="9" width="8.7109375" customWidth="1"/>
    <col min="10" max="10" width="13.28515625" customWidth="1"/>
    <col min="11" max="11" width="12.5703125" customWidth="1"/>
    <col min="12" max="12" width="18" customWidth="1"/>
    <col min="13" max="13" width="13" customWidth="1"/>
    <col min="14" max="14" width="22" hidden="1" customWidth="1"/>
    <col min="15" max="15" width="19.5703125" hidden="1" customWidth="1"/>
    <col min="16" max="16" width="18.7109375" hidden="1" customWidth="1"/>
    <col min="17" max="17" width="23.7109375" hidden="1" customWidth="1"/>
    <col min="18" max="18" width="26.42578125" customWidth="1"/>
    <col min="19" max="19" width="16.7109375" bestFit="1" customWidth="1"/>
    <col min="20" max="20" width="3.7109375" bestFit="1" customWidth="1"/>
    <col min="21" max="21" width="5" bestFit="1" customWidth="1"/>
    <col min="22" max="22" width="14.140625" customWidth="1"/>
    <col min="23" max="23" width="20.85546875" bestFit="1" customWidth="1"/>
  </cols>
  <sheetData>
    <row r="1" spans="1:23" ht="24" customHeight="1">
      <c r="A1" s="6" t="s">
        <v>120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122</v>
      </c>
      <c r="U1" s="6" t="s">
        <v>123</v>
      </c>
      <c r="V1" s="6" t="s">
        <v>18</v>
      </c>
      <c r="W1" s="6" t="s">
        <v>19</v>
      </c>
    </row>
    <row r="2" spans="1:23" ht="14.25" customHeight="1">
      <c r="A2" s="30">
        <v>1</v>
      </c>
      <c r="B2" s="30" t="s">
        <v>20</v>
      </c>
      <c r="C2" s="30"/>
      <c r="D2" s="33" t="s">
        <v>125</v>
      </c>
      <c r="E2" s="30" t="s">
        <v>21</v>
      </c>
      <c r="F2" s="30">
        <v>9416658833</v>
      </c>
      <c r="G2" s="7" t="s">
        <v>22</v>
      </c>
      <c r="H2" s="7" t="s">
        <v>23</v>
      </c>
      <c r="I2" s="7"/>
      <c r="J2" s="7" t="s">
        <v>24</v>
      </c>
      <c r="K2" s="7" t="s">
        <v>25</v>
      </c>
      <c r="L2" s="7" t="s">
        <v>26</v>
      </c>
      <c r="M2" s="7" t="s">
        <v>27</v>
      </c>
      <c r="N2" s="7"/>
      <c r="O2" s="7"/>
      <c r="P2" s="7"/>
      <c r="Q2" s="7"/>
      <c r="R2" s="44" t="s">
        <v>121</v>
      </c>
      <c r="S2" s="7">
        <v>3500</v>
      </c>
      <c r="T2" s="7">
        <v>40</v>
      </c>
      <c r="U2" s="7">
        <v>11</v>
      </c>
      <c r="V2" s="7">
        <f>+T2*U2</f>
        <v>440</v>
      </c>
      <c r="W2" s="7">
        <f>+V2</f>
        <v>440</v>
      </c>
    </row>
    <row r="3" spans="1:23" ht="14.25" customHeight="1">
      <c r="A3" s="31"/>
      <c r="B3" s="31"/>
      <c r="C3" s="31"/>
      <c r="D3" s="31"/>
      <c r="E3" s="31"/>
      <c r="F3" s="31"/>
      <c r="G3" s="7" t="s">
        <v>22</v>
      </c>
      <c r="H3" s="7" t="s">
        <v>23</v>
      </c>
      <c r="I3" s="7"/>
      <c r="J3" s="7" t="s">
        <v>28</v>
      </c>
      <c r="K3" s="7" t="s">
        <v>29</v>
      </c>
      <c r="L3" s="7" t="s">
        <v>30</v>
      </c>
      <c r="M3" s="7" t="s">
        <v>27</v>
      </c>
      <c r="N3" s="7"/>
      <c r="O3" s="7"/>
      <c r="P3" s="7"/>
      <c r="Q3" s="7"/>
      <c r="R3" s="51"/>
      <c r="S3" s="7"/>
      <c r="T3" s="7">
        <v>50</v>
      </c>
      <c r="U3" s="7">
        <v>11</v>
      </c>
      <c r="V3" s="7">
        <f t="shared" ref="V3:V20" si="0">+T3*U3</f>
        <v>550</v>
      </c>
      <c r="W3" s="7">
        <f>+W2+V3</f>
        <v>990</v>
      </c>
    </row>
    <row r="4" spans="1:23" ht="14.25" customHeight="1">
      <c r="A4" s="31"/>
      <c r="B4" s="31"/>
      <c r="C4" s="31"/>
      <c r="D4" s="31"/>
      <c r="E4" s="31"/>
      <c r="F4" s="31"/>
      <c r="G4" s="7" t="s">
        <v>22</v>
      </c>
      <c r="H4" s="7" t="s">
        <v>23</v>
      </c>
      <c r="I4" s="7"/>
      <c r="J4" s="7" t="s">
        <v>31</v>
      </c>
      <c r="K4" s="7" t="s">
        <v>32</v>
      </c>
      <c r="L4" s="7" t="s">
        <v>33</v>
      </c>
      <c r="M4" s="7" t="s">
        <v>27</v>
      </c>
      <c r="N4" s="7"/>
      <c r="O4" s="7"/>
      <c r="P4" s="7"/>
      <c r="Q4" s="7"/>
      <c r="R4" s="51"/>
      <c r="S4" s="7"/>
      <c r="T4" s="7">
        <v>41</v>
      </c>
      <c r="U4" s="7">
        <v>14.5</v>
      </c>
      <c r="V4" s="7">
        <f t="shared" si="0"/>
        <v>594.5</v>
      </c>
      <c r="W4" s="7">
        <f>+W3+V4</f>
        <v>1584.5</v>
      </c>
    </row>
    <row r="5" spans="1:23" ht="14.25" customHeight="1">
      <c r="A5" s="31"/>
      <c r="B5" s="31"/>
      <c r="C5" s="31"/>
      <c r="D5" s="31"/>
      <c r="E5" s="31"/>
      <c r="F5" s="31"/>
      <c r="G5" s="7" t="s">
        <v>22</v>
      </c>
      <c r="H5" s="7" t="s">
        <v>23</v>
      </c>
      <c r="I5" s="7"/>
      <c r="J5" s="7" t="s">
        <v>31</v>
      </c>
      <c r="K5" s="7" t="s">
        <v>32</v>
      </c>
      <c r="L5" s="7" t="s">
        <v>33</v>
      </c>
      <c r="M5" s="7" t="s">
        <v>27</v>
      </c>
      <c r="N5" s="7"/>
      <c r="O5" s="7"/>
      <c r="P5" s="7"/>
      <c r="Q5" s="7"/>
      <c r="R5" s="51"/>
      <c r="S5" s="7"/>
      <c r="T5" s="7">
        <v>10</v>
      </c>
      <c r="U5" s="7">
        <v>4</v>
      </c>
      <c r="V5" s="7">
        <f t="shared" si="0"/>
        <v>40</v>
      </c>
      <c r="W5" s="7">
        <f t="shared" ref="W5:W14" si="1">+W4+V5</f>
        <v>1624.5</v>
      </c>
    </row>
    <row r="6" spans="1:23" ht="14.25" customHeight="1">
      <c r="A6" s="31"/>
      <c r="B6" s="31"/>
      <c r="C6" s="31"/>
      <c r="D6" s="31"/>
      <c r="E6" s="31"/>
      <c r="F6" s="31"/>
      <c r="G6" s="7" t="s">
        <v>22</v>
      </c>
      <c r="H6" s="7" t="s">
        <v>23</v>
      </c>
      <c r="I6" s="7"/>
      <c r="J6" s="7" t="s">
        <v>34</v>
      </c>
      <c r="K6" s="7" t="s">
        <v>35</v>
      </c>
      <c r="L6" s="7" t="s">
        <v>36</v>
      </c>
      <c r="M6" s="7" t="s">
        <v>27</v>
      </c>
      <c r="N6" s="7"/>
      <c r="O6" s="7"/>
      <c r="P6" s="7"/>
      <c r="Q6" s="7"/>
      <c r="R6" s="51"/>
      <c r="S6" s="7"/>
      <c r="T6" s="7">
        <v>40</v>
      </c>
      <c r="U6" s="7">
        <v>14.5</v>
      </c>
      <c r="V6" s="7">
        <f t="shared" si="0"/>
        <v>580</v>
      </c>
      <c r="W6" s="7">
        <f t="shared" si="1"/>
        <v>2204.5</v>
      </c>
    </row>
    <row r="7" spans="1:23" ht="14.25" customHeight="1">
      <c r="A7" s="31"/>
      <c r="B7" s="31"/>
      <c r="C7" s="31"/>
      <c r="D7" s="31"/>
      <c r="E7" s="31"/>
      <c r="F7" s="31"/>
      <c r="G7" s="7" t="s">
        <v>22</v>
      </c>
      <c r="H7" s="7" t="s">
        <v>23</v>
      </c>
      <c r="I7" s="7"/>
      <c r="J7" s="7" t="s">
        <v>34</v>
      </c>
      <c r="K7" s="7" t="s">
        <v>35</v>
      </c>
      <c r="L7" s="7" t="s">
        <v>36</v>
      </c>
      <c r="M7" s="7" t="s">
        <v>27</v>
      </c>
      <c r="N7" s="7"/>
      <c r="O7" s="7"/>
      <c r="P7" s="7"/>
      <c r="Q7" s="7"/>
      <c r="R7" s="51"/>
      <c r="S7" s="7"/>
      <c r="T7" s="7">
        <v>12</v>
      </c>
      <c r="U7" s="7">
        <v>6</v>
      </c>
      <c r="V7" s="7">
        <f t="shared" si="0"/>
        <v>72</v>
      </c>
      <c r="W7" s="7">
        <f t="shared" si="1"/>
        <v>2276.5</v>
      </c>
    </row>
    <row r="8" spans="1:23" ht="14.25" customHeight="1">
      <c r="A8" s="31"/>
      <c r="B8" s="31"/>
      <c r="C8" s="31"/>
      <c r="D8" s="31"/>
      <c r="E8" s="31"/>
      <c r="F8" s="31"/>
      <c r="G8" s="7" t="s">
        <v>22</v>
      </c>
      <c r="H8" s="7" t="s">
        <v>23</v>
      </c>
      <c r="I8" s="7"/>
      <c r="J8" s="7" t="s">
        <v>37</v>
      </c>
      <c r="K8" s="7" t="s">
        <v>38</v>
      </c>
      <c r="L8" s="7" t="s">
        <v>39</v>
      </c>
      <c r="M8" s="7" t="s">
        <v>27</v>
      </c>
      <c r="N8" s="7"/>
      <c r="O8" s="7"/>
      <c r="P8" s="7"/>
      <c r="Q8" s="7"/>
      <c r="R8" s="51"/>
      <c r="S8" s="7"/>
      <c r="T8" s="7">
        <v>16</v>
      </c>
      <c r="U8" s="7">
        <v>11</v>
      </c>
      <c r="V8" s="7">
        <f t="shared" si="0"/>
        <v>176</v>
      </c>
      <c r="W8" s="7">
        <f t="shared" si="1"/>
        <v>2452.5</v>
      </c>
    </row>
    <row r="9" spans="1:23" ht="14.25" customHeight="1">
      <c r="A9" s="31"/>
      <c r="B9" s="31"/>
      <c r="C9" s="31"/>
      <c r="D9" s="31"/>
      <c r="E9" s="31"/>
      <c r="F9" s="31"/>
      <c r="G9" s="7" t="s">
        <v>22</v>
      </c>
      <c r="H9" s="7" t="s">
        <v>23</v>
      </c>
      <c r="I9" s="7"/>
      <c r="J9" s="7" t="s">
        <v>40</v>
      </c>
      <c r="K9" s="7" t="s">
        <v>41</v>
      </c>
      <c r="L9" s="7" t="s">
        <v>42</v>
      </c>
      <c r="M9" s="7" t="s">
        <v>27</v>
      </c>
      <c r="N9" s="7"/>
      <c r="O9" s="7"/>
      <c r="P9" s="7"/>
      <c r="Q9" s="7"/>
      <c r="R9" s="51"/>
      <c r="S9" s="7"/>
      <c r="T9" s="7">
        <v>12</v>
      </c>
      <c r="U9" s="7">
        <v>4</v>
      </c>
      <c r="V9" s="7">
        <f t="shared" si="0"/>
        <v>48</v>
      </c>
      <c r="W9" s="7">
        <f t="shared" si="1"/>
        <v>2500.5</v>
      </c>
    </row>
    <row r="10" spans="1:23" ht="14.25" customHeight="1">
      <c r="A10" s="31"/>
      <c r="B10" s="31"/>
      <c r="C10" s="31"/>
      <c r="D10" s="31"/>
      <c r="E10" s="31"/>
      <c r="F10" s="31"/>
      <c r="G10" s="7" t="s">
        <v>22</v>
      </c>
      <c r="H10" s="7" t="s">
        <v>23</v>
      </c>
      <c r="I10" s="7"/>
      <c r="J10" s="7" t="s">
        <v>40</v>
      </c>
      <c r="K10" s="7" t="s">
        <v>41</v>
      </c>
      <c r="L10" s="7" t="s">
        <v>42</v>
      </c>
      <c r="M10" s="7" t="s">
        <v>27</v>
      </c>
      <c r="N10" s="7"/>
      <c r="O10" s="7"/>
      <c r="P10" s="7"/>
      <c r="Q10" s="7"/>
      <c r="R10" s="51"/>
      <c r="S10" s="7"/>
      <c r="T10" s="7">
        <v>3</v>
      </c>
      <c r="U10" s="7">
        <v>8</v>
      </c>
      <c r="V10" s="7">
        <f t="shared" si="0"/>
        <v>24</v>
      </c>
      <c r="W10" s="7">
        <f t="shared" si="1"/>
        <v>2524.5</v>
      </c>
    </row>
    <row r="11" spans="1:23" ht="14.25" customHeight="1">
      <c r="A11" s="31"/>
      <c r="B11" s="31"/>
      <c r="C11" s="31"/>
      <c r="D11" s="31"/>
      <c r="E11" s="31"/>
      <c r="F11" s="31"/>
      <c r="G11" s="7" t="s">
        <v>22</v>
      </c>
      <c r="H11" s="7" t="s">
        <v>23</v>
      </c>
      <c r="I11" s="7"/>
      <c r="J11" s="7">
        <v>30.037420000000001</v>
      </c>
      <c r="K11" s="7" t="s">
        <v>43</v>
      </c>
      <c r="L11" s="7" t="s">
        <v>44</v>
      </c>
      <c r="M11" s="7" t="s">
        <v>27</v>
      </c>
      <c r="N11" s="7"/>
      <c r="O11" s="7"/>
      <c r="P11" s="7"/>
      <c r="Q11" s="7"/>
      <c r="R11" s="51"/>
      <c r="S11" s="7"/>
      <c r="T11" s="7">
        <v>14</v>
      </c>
      <c r="U11" s="7">
        <v>11</v>
      </c>
      <c r="V11" s="7">
        <f t="shared" si="0"/>
        <v>154</v>
      </c>
      <c r="W11" s="7">
        <f t="shared" si="1"/>
        <v>2678.5</v>
      </c>
    </row>
    <row r="12" spans="1:23" ht="14.25" customHeight="1">
      <c r="A12" s="31"/>
      <c r="B12" s="31"/>
      <c r="C12" s="31"/>
      <c r="D12" s="31"/>
      <c r="E12" s="31"/>
      <c r="F12" s="31"/>
      <c r="G12" s="7" t="s">
        <v>22</v>
      </c>
      <c r="H12" s="7" t="s">
        <v>23</v>
      </c>
      <c r="I12" s="7"/>
      <c r="J12" s="7" t="s">
        <v>45</v>
      </c>
      <c r="K12" s="7" t="s">
        <v>46</v>
      </c>
      <c r="L12" s="7" t="s">
        <v>47</v>
      </c>
      <c r="M12" s="7" t="s">
        <v>27</v>
      </c>
      <c r="N12" s="7"/>
      <c r="O12" s="7"/>
      <c r="P12" s="7"/>
      <c r="Q12" s="7"/>
      <c r="R12" s="51"/>
      <c r="S12" s="7"/>
      <c r="T12" s="7">
        <v>15</v>
      </c>
      <c r="U12" s="7">
        <v>11</v>
      </c>
      <c r="V12" s="7">
        <f t="shared" si="0"/>
        <v>165</v>
      </c>
      <c r="W12" s="7">
        <f t="shared" si="1"/>
        <v>2843.5</v>
      </c>
    </row>
    <row r="13" spans="1:23" ht="14.25" customHeight="1">
      <c r="A13" s="31"/>
      <c r="B13" s="31"/>
      <c r="C13" s="31"/>
      <c r="D13" s="31"/>
      <c r="E13" s="31"/>
      <c r="F13" s="31"/>
      <c r="G13" s="7" t="s">
        <v>22</v>
      </c>
      <c r="H13" s="7" t="s">
        <v>23</v>
      </c>
      <c r="I13" s="7"/>
      <c r="J13" s="7" t="s">
        <v>48</v>
      </c>
      <c r="K13" s="7" t="s">
        <v>49</v>
      </c>
      <c r="L13" s="7" t="s">
        <v>50</v>
      </c>
      <c r="M13" s="7" t="s">
        <v>51</v>
      </c>
      <c r="N13" s="7"/>
      <c r="O13" s="7"/>
      <c r="P13" s="7"/>
      <c r="Q13" s="7"/>
      <c r="R13" s="51"/>
      <c r="S13" s="7"/>
      <c r="T13" s="7">
        <v>47</v>
      </c>
      <c r="U13" s="7">
        <v>10</v>
      </c>
      <c r="V13" s="7">
        <f t="shared" si="0"/>
        <v>470</v>
      </c>
      <c r="W13" s="7">
        <f t="shared" si="1"/>
        <v>3313.5</v>
      </c>
    </row>
    <row r="14" spans="1:23" ht="14.25" customHeight="1">
      <c r="A14" s="54"/>
      <c r="B14" s="54"/>
      <c r="C14" s="54"/>
      <c r="D14" s="54"/>
      <c r="E14" s="54"/>
      <c r="F14" s="54"/>
      <c r="G14" s="8" t="s">
        <v>22</v>
      </c>
      <c r="H14" s="8" t="s">
        <v>23</v>
      </c>
      <c r="I14" s="8"/>
      <c r="J14" s="8" t="s">
        <v>52</v>
      </c>
      <c r="K14" s="8" t="s">
        <v>53</v>
      </c>
      <c r="L14" s="8" t="s">
        <v>54</v>
      </c>
      <c r="M14" s="8" t="s">
        <v>51</v>
      </c>
      <c r="N14" s="8"/>
      <c r="O14" s="8"/>
      <c r="P14" s="8"/>
      <c r="Q14" s="8"/>
      <c r="R14" s="52"/>
      <c r="S14" s="8"/>
      <c r="T14" s="8">
        <v>49</v>
      </c>
      <c r="U14" s="8">
        <v>16.5</v>
      </c>
      <c r="V14" s="8">
        <f t="shared" si="0"/>
        <v>808.5</v>
      </c>
      <c r="W14" s="9">
        <f t="shared" si="1"/>
        <v>4122</v>
      </c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4.25" customHeight="1">
      <c r="A16" s="55">
        <v>2</v>
      </c>
      <c r="B16" s="53" t="s">
        <v>55</v>
      </c>
      <c r="C16" s="10"/>
      <c r="D16" s="33" t="s">
        <v>125</v>
      </c>
      <c r="E16" s="53" t="s">
        <v>56</v>
      </c>
      <c r="F16" s="53">
        <v>9416668676</v>
      </c>
      <c r="G16" s="11" t="s">
        <v>57</v>
      </c>
      <c r="H16" s="11" t="s">
        <v>56</v>
      </c>
      <c r="I16" s="11"/>
      <c r="J16" s="11">
        <v>30.449805999999999</v>
      </c>
      <c r="K16" s="11">
        <v>77.036257000000006</v>
      </c>
      <c r="L16" s="11" t="s">
        <v>26</v>
      </c>
      <c r="M16" s="11" t="s">
        <v>58</v>
      </c>
      <c r="N16" s="11"/>
      <c r="O16" s="11"/>
      <c r="P16" s="11"/>
      <c r="Q16" s="11"/>
      <c r="R16" s="58" t="s">
        <v>121</v>
      </c>
      <c r="S16" s="11">
        <v>3500</v>
      </c>
      <c r="T16" s="11">
        <v>30</v>
      </c>
      <c r="U16" s="11">
        <v>15.5</v>
      </c>
      <c r="V16" s="11">
        <f t="shared" si="0"/>
        <v>465</v>
      </c>
      <c r="W16" s="11">
        <f>+V16</f>
        <v>465</v>
      </c>
    </row>
    <row r="17" spans="1:23" ht="14.25" customHeight="1">
      <c r="A17" s="56"/>
      <c r="B17" s="31"/>
      <c r="C17" s="12"/>
      <c r="D17" s="31"/>
      <c r="E17" s="31"/>
      <c r="F17" s="31"/>
      <c r="G17" s="7" t="s">
        <v>57</v>
      </c>
      <c r="H17" s="7" t="s">
        <v>56</v>
      </c>
      <c r="I17" s="7"/>
      <c r="J17" s="7">
        <v>30.449774000000001</v>
      </c>
      <c r="K17" s="7">
        <v>77.036411999999999</v>
      </c>
      <c r="L17" s="7" t="s">
        <v>30</v>
      </c>
      <c r="M17" s="7" t="s">
        <v>58</v>
      </c>
      <c r="N17" s="7"/>
      <c r="O17" s="7"/>
      <c r="P17" s="7"/>
      <c r="Q17" s="7"/>
      <c r="R17" s="42"/>
      <c r="S17" s="7"/>
      <c r="T17" s="7">
        <v>29</v>
      </c>
      <c r="U17" s="7">
        <v>17.5</v>
      </c>
      <c r="V17" s="11">
        <f t="shared" si="0"/>
        <v>507.5</v>
      </c>
      <c r="W17" s="7">
        <f>+W16+V17</f>
        <v>972.5</v>
      </c>
    </row>
    <row r="18" spans="1:23" ht="14.25" customHeight="1">
      <c r="A18" s="56"/>
      <c r="B18" s="31"/>
      <c r="C18" s="12"/>
      <c r="D18" s="31"/>
      <c r="E18" s="31"/>
      <c r="F18" s="31"/>
      <c r="G18" s="7" t="s">
        <v>57</v>
      </c>
      <c r="H18" s="7" t="s">
        <v>56</v>
      </c>
      <c r="I18" s="7"/>
      <c r="J18" s="7">
        <v>30.450108</v>
      </c>
      <c r="K18" s="7">
        <v>77.036451999999997</v>
      </c>
      <c r="L18" s="7" t="s">
        <v>33</v>
      </c>
      <c r="M18" s="7" t="s">
        <v>59</v>
      </c>
      <c r="N18" s="7"/>
      <c r="O18" s="7"/>
      <c r="P18" s="7"/>
      <c r="Q18" s="7"/>
      <c r="R18" s="42"/>
      <c r="S18" s="7"/>
      <c r="T18" s="7">
        <v>51</v>
      </c>
      <c r="U18" s="7">
        <v>17</v>
      </c>
      <c r="V18" s="11">
        <f t="shared" si="0"/>
        <v>867</v>
      </c>
      <c r="W18" s="7">
        <f t="shared" ref="W18:W20" si="2">+W17+V18</f>
        <v>1839.5</v>
      </c>
    </row>
    <row r="19" spans="1:23" ht="14.25" customHeight="1">
      <c r="A19" s="56"/>
      <c r="B19" s="31"/>
      <c r="C19" s="12"/>
      <c r="D19" s="31"/>
      <c r="E19" s="31"/>
      <c r="F19" s="31"/>
      <c r="G19" s="7" t="s">
        <v>57</v>
      </c>
      <c r="H19" s="7" t="s">
        <v>56</v>
      </c>
      <c r="I19" s="7"/>
      <c r="J19" s="7">
        <v>30.449912999999999</v>
      </c>
      <c r="K19" s="7">
        <v>77.036534000000003</v>
      </c>
      <c r="L19" s="7" t="s">
        <v>36</v>
      </c>
      <c r="M19" s="7" t="s">
        <v>59</v>
      </c>
      <c r="N19" s="7"/>
      <c r="O19" s="7"/>
      <c r="P19" s="7"/>
      <c r="Q19" s="7"/>
      <c r="R19" s="42"/>
      <c r="S19" s="7"/>
      <c r="T19" s="7">
        <v>55</v>
      </c>
      <c r="U19" s="7">
        <v>23</v>
      </c>
      <c r="V19" s="11">
        <f t="shared" si="0"/>
        <v>1265</v>
      </c>
      <c r="W19" s="7">
        <f t="shared" si="2"/>
        <v>3104.5</v>
      </c>
    </row>
    <row r="20" spans="1:23" ht="14.25" customHeight="1">
      <c r="A20" s="57"/>
      <c r="B20" s="32"/>
      <c r="C20" s="12"/>
      <c r="D20" s="54"/>
      <c r="E20" s="32"/>
      <c r="F20" s="32"/>
      <c r="G20" s="7" t="s">
        <v>57</v>
      </c>
      <c r="H20" s="7" t="s">
        <v>56</v>
      </c>
      <c r="I20" s="7"/>
      <c r="J20" s="7">
        <v>30.449842</v>
      </c>
      <c r="K20" s="7">
        <v>77.036325000000005</v>
      </c>
      <c r="L20" s="7" t="s">
        <v>39</v>
      </c>
      <c r="M20" s="7" t="s">
        <v>59</v>
      </c>
      <c r="N20" s="7"/>
      <c r="O20" s="7"/>
      <c r="P20" s="7"/>
      <c r="Q20" s="7"/>
      <c r="R20" s="43"/>
      <c r="S20" s="7"/>
      <c r="T20" s="7">
        <v>28</v>
      </c>
      <c r="U20" s="7">
        <v>13</v>
      </c>
      <c r="V20" s="11">
        <f t="shared" si="0"/>
        <v>364</v>
      </c>
      <c r="W20" s="13">
        <f t="shared" si="2"/>
        <v>3468.5</v>
      </c>
    </row>
    <row r="21" spans="1:2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6"/>
    </row>
    <row r="22" spans="1:23" ht="18" customHeight="1">
      <c r="A22" s="30">
        <v>3</v>
      </c>
      <c r="B22" s="30" t="s">
        <v>60</v>
      </c>
      <c r="C22" s="12"/>
      <c r="D22" s="33" t="s">
        <v>125</v>
      </c>
      <c r="E22" s="30" t="s">
        <v>56</v>
      </c>
      <c r="F22" s="30">
        <v>9813101083</v>
      </c>
      <c r="G22" s="7" t="s">
        <v>61</v>
      </c>
      <c r="H22" s="7" t="s">
        <v>56</v>
      </c>
      <c r="I22" s="7"/>
      <c r="J22" s="7" t="s">
        <v>62</v>
      </c>
      <c r="K22" s="7" t="s">
        <v>63</v>
      </c>
      <c r="L22" s="7" t="s">
        <v>26</v>
      </c>
      <c r="M22" s="7" t="s">
        <v>64</v>
      </c>
      <c r="N22" s="7"/>
      <c r="O22" s="7"/>
      <c r="P22" s="7"/>
      <c r="Q22" s="7"/>
      <c r="R22" s="41" t="s">
        <v>121</v>
      </c>
      <c r="S22" s="7">
        <v>3500</v>
      </c>
      <c r="T22" s="7">
        <v>17</v>
      </c>
      <c r="U22" s="7">
        <v>12</v>
      </c>
      <c r="V22" s="7">
        <f>17*12</f>
        <v>204</v>
      </c>
      <c r="W22" s="7">
        <f>+V22</f>
        <v>204</v>
      </c>
    </row>
    <row r="23" spans="1:23" ht="14.25" customHeight="1">
      <c r="A23" s="31"/>
      <c r="B23" s="31"/>
      <c r="C23" s="12"/>
      <c r="D23" s="31"/>
      <c r="E23" s="31"/>
      <c r="F23" s="31"/>
      <c r="G23" s="7" t="s">
        <v>61</v>
      </c>
      <c r="H23" s="7" t="s">
        <v>56</v>
      </c>
      <c r="I23" s="7"/>
      <c r="J23" s="7" t="s">
        <v>65</v>
      </c>
      <c r="K23" s="7" t="s">
        <v>66</v>
      </c>
      <c r="L23" s="7" t="s">
        <v>30</v>
      </c>
      <c r="M23" s="7" t="s">
        <v>64</v>
      </c>
      <c r="N23" s="7"/>
      <c r="O23" s="7"/>
      <c r="P23" s="7"/>
      <c r="Q23" s="7"/>
      <c r="R23" s="42"/>
      <c r="S23" s="7"/>
      <c r="T23" s="7">
        <v>52</v>
      </c>
      <c r="U23" s="7">
        <v>12</v>
      </c>
      <c r="V23" s="7">
        <f>52*12</f>
        <v>624</v>
      </c>
      <c r="W23" s="7">
        <f>+W22+V23</f>
        <v>828</v>
      </c>
    </row>
    <row r="24" spans="1:23" ht="14.25" customHeight="1">
      <c r="A24" s="31"/>
      <c r="B24" s="31"/>
      <c r="C24" s="12"/>
      <c r="D24" s="31"/>
      <c r="E24" s="31"/>
      <c r="F24" s="31"/>
      <c r="G24" s="7" t="s">
        <v>61</v>
      </c>
      <c r="H24" s="7" t="s">
        <v>56</v>
      </c>
      <c r="I24" s="7"/>
      <c r="J24" s="7" t="s">
        <v>65</v>
      </c>
      <c r="K24" s="7" t="s">
        <v>66</v>
      </c>
      <c r="L24" s="7" t="s">
        <v>33</v>
      </c>
      <c r="M24" s="7" t="s">
        <v>64</v>
      </c>
      <c r="N24" s="7"/>
      <c r="O24" s="7"/>
      <c r="P24" s="7"/>
      <c r="Q24" s="7"/>
      <c r="R24" s="42"/>
      <c r="S24" s="7"/>
      <c r="T24" s="7">
        <v>50</v>
      </c>
      <c r="U24" s="7">
        <v>3</v>
      </c>
      <c r="V24" s="7">
        <f>50*3</f>
        <v>150</v>
      </c>
      <c r="W24" s="7">
        <f t="shared" ref="W24:W32" si="3">+W23+V24</f>
        <v>978</v>
      </c>
    </row>
    <row r="25" spans="1:23" ht="15.75" customHeight="1">
      <c r="A25" s="31"/>
      <c r="B25" s="31"/>
      <c r="C25" s="12"/>
      <c r="D25" s="31"/>
      <c r="E25" s="31"/>
      <c r="F25" s="31"/>
      <c r="G25" s="7" t="s">
        <v>61</v>
      </c>
      <c r="H25" s="7" t="s">
        <v>56</v>
      </c>
      <c r="I25" s="7"/>
      <c r="J25" s="7" t="s">
        <v>67</v>
      </c>
      <c r="K25" s="7" t="s">
        <v>68</v>
      </c>
      <c r="L25" s="7" t="s">
        <v>33</v>
      </c>
      <c r="M25" s="7" t="s">
        <v>64</v>
      </c>
      <c r="N25" s="7"/>
      <c r="O25" s="7"/>
      <c r="P25" s="7"/>
      <c r="Q25" s="7"/>
      <c r="R25" s="42"/>
      <c r="S25" s="7"/>
      <c r="T25" s="7">
        <v>23</v>
      </c>
      <c r="U25" s="7">
        <v>6</v>
      </c>
      <c r="V25" s="7">
        <f>23*6</f>
        <v>138</v>
      </c>
      <c r="W25" s="7">
        <f t="shared" si="3"/>
        <v>1116</v>
      </c>
    </row>
    <row r="26" spans="1:23" ht="14.25" customHeight="1">
      <c r="A26" s="31"/>
      <c r="B26" s="31"/>
      <c r="C26" s="12"/>
      <c r="D26" s="31"/>
      <c r="E26" s="31"/>
      <c r="F26" s="31"/>
      <c r="G26" s="7" t="s">
        <v>61</v>
      </c>
      <c r="H26" s="7" t="s">
        <v>56</v>
      </c>
      <c r="I26" s="7"/>
      <c r="J26" s="7" t="s">
        <v>69</v>
      </c>
      <c r="K26" s="7" t="s">
        <v>70</v>
      </c>
      <c r="L26" s="7" t="s">
        <v>36</v>
      </c>
      <c r="M26" s="7" t="s">
        <v>71</v>
      </c>
      <c r="N26" s="7"/>
      <c r="O26" s="7"/>
      <c r="P26" s="7"/>
      <c r="Q26" s="7"/>
      <c r="R26" s="42"/>
      <c r="S26" s="7"/>
      <c r="T26" s="7">
        <v>17</v>
      </c>
      <c r="U26" s="7">
        <v>7</v>
      </c>
      <c r="V26" s="7">
        <f>17*7</f>
        <v>119</v>
      </c>
      <c r="W26" s="7">
        <f t="shared" si="3"/>
        <v>1235</v>
      </c>
    </row>
    <row r="27" spans="1:23" ht="14.25" customHeight="1">
      <c r="A27" s="31"/>
      <c r="B27" s="31"/>
      <c r="C27" s="12"/>
      <c r="D27" s="31"/>
      <c r="E27" s="31"/>
      <c r="F27" s="31"/>
      <c r="G27" s="7" t="s">
        <v>61</v>
      </c>
      <c r="H27" s="7" t="s">
        <v>56</v>
      </c>
      <c r="I27" s="7"/>
      <c r="J27" s="7" t="s">
        <v>72</v>
      </c>
      <c r="K27" s="7" t="s">
        <v>73</v>
      </c>
      <c r="L27" s="7" t="s">
        <v>39</v>
      </c>
      <c r="M27" s="7" t="s">
        <v>71</v>
      </c>
      <c r="N27" s="7"/>
      <c r="O27" s="7"/>
      <c r="P27" s="7"/>
      <c r="Q27" s="7"/>
      <c r="R27" s="42"/>
      <c r="S27" s="7"/>
      <c r="T27" s="7">
        <v>54</v>
      </c>
      <c r="U27" s="7">
        <v>15</v>
      </c>
      <c r="V27" s="7">
        <f>54*15</f>
        <v>810</v>
      </c>
      <c r="W27" s="7">
        <f t="shared" si="3"/>
        <v>2045</v>
      </c>
    </row>
    <row r="28" spans="1:23" ht="14.25" customHeight="1">
      <c r="A28" s="31"/>
      <c r="B28" s="31"/>
      <c r="C28" s="12"/>
      <c r="D28" s="31"/>
      <c r="E28" s="31"/>
      <c r="F28" s="31"/>
      <c r="G28" s="7" t="s">
        <v>61</v>
      </c>
      <c r="H28" s="7" t="s">
        <v>56</v>
      </c>
      <c r="I28" s="7"/>
      <c r="J28" s="7" t="s">
        <v>74</v>
      </c>
      <c r="K28" s="7" t="s">
        <v>75</v>
      </c>
      <c r="L28" s="7" t="s">
        <v>42</v>
      </c>
      <c r="M28" s="7" t="s">
        <v>71</v>
      </c>
      <c r="N28" s="7"/>
      <c r="O28" s="7"/>
      <c r="P28" s="7"/>
      <c r="Q28" s="7"/>
      <c r="R28" s="42"/>
      <c r="S28" s="7"/>
      <c r="T28" s="7">
        <v>13</v>
      </c>
      <c r="U28" s="7">
        <v>13</v>
      </c>
      <c r="V28" s="7">
        <f>13*13</f>
        <v>169</v>
      </c>
      <c r="W28" s="7">
        <f t="shared" si="3"/>
        <v>2214</v>
      </c>
    </row>
    <row r="29" spans="1:23" ht="14.25" customHeight="1">
      <c r="A29" s="31"/>
      <c r="B29" s="31"/>
      <c r="C29" s="12"/>
      <c r="D29" s="31"/>
      <c r="E29" s="31"/>
      <c r="F29" s="31"/>
      <c r="G29" s="7" t="s">
        <v>61</v>
      </c>
      <c r="H29" s="7" t="s">
        <v>56</v>
      </c>
      <c r="I29" s="7"/>
      <c r="J29" s="7" t="s">
        <v>76</v>
      </c>
      <c r="K29" s="7" t="s">
        <v>77</v>
      </c>
      <c r="L29" s="7" t="s">
        <v>44</v>
      </c>
      <c r="M29" s="7" t="s">
        <v>71</v>
      </c>
      <c r="N29" s="7"/>
      <c r="O29" s="7"/>
      <c r="P29" s="7"/>
      <c r="Q29" s="7"/>
      <c r="R29" s="42"/>
      <c r="S29" s="7"/>
      <c r="T29" s="7">
        <v>20</v>
      </c>
      <c r="U29" s="7">
        <v>14</v>
      </c>
      <c r="V29" s="7">
        <f>20*14</f>
        <v>280</v>
      </c>
      <c r="W29" s="7">
        <f t="shared" si="3"/>
        <v>2494</v>
      </c>
    </row>
    <row r="30" spans="1:23" ht="15.75" customHeight="1">
      <c r="A30" s="31"/>
      <c r="B30" s="31"/>
      <c r="C30" s="12"/>
      <c r="D30" s="31"/>
      <c r="E30" s="31"/>
      <c r="F30" s="31"/>
      <c r="G30" s="7" t="s">
        <v>61</v>
      </c>
      <c r="H30" s="7" t="s">
        <v>56</v>
      </c>
      <c r="I30" s="7"/>
      <c r="J30" s="7" t="s">
        <v>78</v>
      </c>
      <c r="K30" s="7" t="s">
        <v>79</v>
      </c>
      <c r="L30" s="7" t="s">
        <v>47</v>
      </c>
      <c r="M30" s="7" t="s">
        <v>80</v>
      </c>
      <c r="N30" s="7"/>
      <c r="O30" s="7"/>
      <c r="P30" s="7"/>
      <c r="Q30" s="7"/>
      <c r="R30" s="42"/>
      <c r="S30" s="7"/>
      <c r="T30" s="7">
        <v>58</v>
      </c>
      <c r="U30" s="7">
        <v>12</v>
      </c>
      <c r="V30" s="7">
        <f>58*12</f>
        <v>696</v>
      </c>
      <c r="W30" s="7">
        <f t="shared" si="3"/>
        <v>3190</v>
      </c>
    </row>
    <row r="31" spans="1:23" ht="14.25" customHeight="1">
      <c r="A31" s="31"/>
      <c r="B31" s="31"/>
      <c r="C31" s="12"/>
      <c r="D31" s="31"/>
      <c r="E31" s="31"/>
      <c r="F31" s="31"/>
      <c r="G31" s="7" t="s">
        <v>61</v>
      </c>
      <c r="H31" s="7" t="s">
        <v>56</v>
      </c>
      <c r="I31" s="7"/>
      <c r="J31" s="7" t="s">
        <v>81</v>
      </c>
      <c r="K31" s="7" t="s">
        <v>82</v>
      </c>
      <c r="L31" s="7" t="s">
        <v>83</v>
      </c>
      <c r="M31" s="7" t="s">
        <v>80</v>
      </c>
      <c r="N31" s="7"/>
      <c r="O31" s="7"/>
      <c r="P31" s="7"/>
      <c r="Q31" s="7"/>
      <c r="R31" s="42"/>
      <c r="S31" s="7"/>
      <c r="T31" s="7">
        <v>10</v>
      </c>
      <c r="U31" s="7">
        <v>15</v>
      </c>
      <c r="V31" s="7">
        <f>10*15</f>
        <v>150</v>
      </c>
      <c r="W31" s="7">
        <f t="shared" si="3"/>
        <v>3340</v>
      </c>
    </row>
    <row r="32" spans="1:23" ht="14.25" customHeight="1">
      <c r="A32" s="32"/>
      <c r="B32" s="32"/>
      <c r="C32" s="12"/>
      <c r="D32" s="32"/>
      <c r="E32" s="32"/>
      <c r="F32" s="32"/>
      <c r="G32" s="7" t="s">
        <v>61</v>
      </c>
      <c r="H32" s="7" t="s">
        <v>56</v>
      </c>
      <c r="I32" s="7"/>
      <c r="J32" s="7" t="s">
        <v>84</v>
      </c>
      <c r="K32" s="7" t="s">
        <v>85</v>
      </c>
      <c r="L32" s="7" t="s">
        <v>86</v>
      </c>
      <c r="M32" s="7" t="s">
        <v>80</v>
      </c>
      <c r="N32" s="7"/>
      <c r="O32" s="7"/>
      <c r="P32" s="7"/>
      <c r="Q32" s="7"/>
      <c r="R32" s="43"/>
      <c r="S32" s="7"/>
      <c r="T32" s="7">
        <v>22</v>
      </c>
      <c r="U32" s="7">
        <v>7.5</v>
      </c>
      <c r="V32" s="7">
        <f>22*7.5</f>
        <v>165</v>
      </c>
      <c r="W32" s="13">
        <f t="shared" si="3"/>
        <v>3505</v>
      </c>
    </row>
    <row r="33" spans="1:2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40"/>
    </row>
    <row r="34" spans="1:23" ht="14.25" customHeight="1">
      <c r="A34" s="30">
        <v>4</v>
      </c>
      <c r="B34" s="30" t="s">
        <v>87</v>
      </c>
      <c r="C34" s="12"/>
      <c r="D34" s="33" t="s">
        <v>125</v>
      </c>
      <c r="E34" s="30" t="s">
        <v>56</v>
      </c>
      <c r="F34" s="30">
        <v>9215167249</v>
      </c>
      <c r="G34" s="18" t="s">
        <v>124</v>
      </c>
      <c r="H34" s="7" t="s">
        <v>56</v>
      </c>
      <c r="I34" s="7"/>
      <c r="J34" s="7">
        <v>30.329405000000001</v>
      </c>
      <c r="K34" s="7">
        <v>76.892966000000001</v>
      </c>
      <c r="L34" s="7" t="s">
        <v>26</v>
      </c>
      <c r="M34" s="7" t="s">
        <v>88</v>
      </c>
      <c r="N34" s="7"/>
      <c r="O34" s="7"/>
      <c r="P34" s="7"/>
      <c r="Q34" s="7"/>
      <c r="R34" s="41" t="s">
        <v>121</v>
      </c>
      <c r="S34" s="7">
        <v>5000</v>
      </c>
      <c r="T34" s="7">
        <v>29</v>
      </c>
      <c r="U34" s="7">
        <v>17</v>
      </c>
      <c r="V34" s="7">
        <f t="shared" ref="V34:V42" si="4">+T34*U34</f>
        <v>493</v>
      </c>
      <c r="W34" s="7">
        <f>+V34</f>
        <v>493</v>
      </c>
    </row>
    <row r="35" spans="1:23" ht="14.25" customHeight="1">
      <c r="A35" s="31"/>
      <c r="B35" s="31"/>
      <c r="C35" s="12"/>
      <c r="D35" s="31"/>
      <c r="E35" s="31"/>
      <c r="F35" s="31"/>
      <c r="G35" s="18" t="s">
        <v>124</v>
      </c>
      <c r="H35" s="7" t="s">
        <v>56</v>
      </c>
      <c r="I35" s="7"/>
      <c r="J35" s="7">
        <v>30.329612999999998</v>
      </c>
      <c r="K35" s="7">
        <v>76.892920000000004</v>
      </c>
      <c r="L35" s="7" t="s">
        <v>30</v>
      </c>
      <c r="M35" s="7" t="s">
        <v>89</v>
      </c>
      <c r="N35" s="7"/>
      <c r="O35" s="7"/>
      <c r="P35" s="7"/>
      <c r="Q35" s="7"/>
      <c r="R35" s="42"/>
      <c r="S35" s="7"/>
      <c r="T35" s="7">
        <v>25</v>
      </c>
      <c r="U35" s="7">
        <v>17</v>
      </c>
      <c r="V35" s="7">
        <f t="shared" si="4"/>
        <v>425</v>
      </c>
      <c r="W35" s="7">
        <f>+W34+V35</f>
        <v>918</v>
      </c>
    </row>
    <row r="36" spans="1:23" ht="14.25" customHeight="1">
      <c r="A36" s="31"/>
      <c r="B36" s="31"/>
      <c r="C36" s="12"/>
      <c r="D36" s="31"/>
      <c r="E36" s="31"/>
      <c r="F36" s="31"/>
      <c r="G36" s="18" t="s">
        <v>124</v>
      </c>
      <c r="H36" s="7" t="s">
        <v>56</v>
      </c>
      <c r="I36" s="7"/>
      <c r="J36" s="7">
        <v>30.329984</v>
      </c>
      <c r="K36" s="7">
        <v>76.892504000000002</v>
      </c>
      <c r="L36" s="7" t="s">
        <v>33</v>
      </c>
      <c r="M36" s="7" t="s">
        <v>89</v>
      </c>
      <c r="N36" s="7"/>
      <c r="O36" s="7"/>
      <c r="P36" s="7"/>
      <c r="Q36" s="7"/>
      <c r="R36" s="42"/>
      <c r="S36" s="7"/>
      <c r="T36" s="7">
        <v>41</v>
      </c>
      <c r="U36" s="7">
        <v>11.5</v>
      </c>
      <c r="V36" s="7">
        <f t="shared" si="4"/>
        <v>471.5</v>
      </c>
      <c r="W36" s="7">
        <f t="shared" ref="W36:W42" si="5">+W35+V36</f>
        <v>1389.5</v>
      </c>
    </row>
    <row r="37" spans="1:23" ht="14.25" customHeight="1">
      <c r="A37" s="31"/>
      <c r="B37" s="31"/>
      <c r="C37" s="12"/>
      <c r="D37" s="31"/>
      <c r="E37" s="31"/>
      <c r="F37" s="31"/>
      <c r="G37" s="18" t="s">
        <v>124</v>
      </c>
      <c r="H37" s="7" t="s">
        <v>56</v>
      </c>
      <c r="I37" s="7"/>
      <c r="J37" s="7">
        <v>30.329692000000001</v>
      </c>
      <c r="K37" s="7">
        <v>76.892714999999995</v>
      </c>
      <c r="L37" s="7" t="s">
        <v>36</v>
      </c>
      <c r="M37" s="7" t="s">
        <v>89</v>
      </c>
      <c r="N37" s="7"/>
      <c r="O37" s="7"/>
      <c r="P37" s="7"/>
      <c r="Q37" s="7"/>
      <c r="R37" s="42"/>
      <c r="S37" s="7"/>
      <c r="T37" s="7">
        <v>41</v>
      </c>
      <c r="U37" s="7">
        <v>11.5</v>
      </c>
      <c r="V37" s="7">
        <f t="shared" si="4"/>
        <v>471.5</v>
      </c>
      <c r="W37" s="7">
        <f t="shared" si="5"/>
        <v>1861</v>
      </c>
    </row>
    <row r="38" spans="1:23" ht="14.25" customHeight="1">
      <c r="A38" s="31"/>
      <c r="B38" s="31"/>
      <c r="C38" s="12"/>
      <c r="D38" s="31"/>
      <c r="E38" s="31"/>
      <c r="F38" s="31"/>
      <c r="G38" s="18" t="s">
        <v>124</v>
      </c>
      <c r="H38" s="7" t="s">
        <v>56</v>
      </c>
      <c r="I38" s="7"/>
      <c r="J38" s="7">
        <v>30.356983</v>
      </c>
      <c r="K38" s="7">
        <v>76.881423999999996</v>
      </c>
      <c r="L38" s="7" t="s">
        <v>90</v>
      </c>
      <c r="M38" s="16">
        <v>45663</v>
      </c>
      <c r="N38" s="7"/>
      <c r="O38" s="7"/>
      <c r="P38" s="7"/>
      <c r="Q38" s="7"/>
      <c r="R38" s="42"/>
      <c r="S38" s="7"/>
      <c r="T38" s="7">
        <v>68</v>
      </c>
      <c r="U38" s="7">
        <v>11</v>
      </c>
      <c r="V38" s="7">
        <f t="shared" si="4"/>
        <v>748</v>
      </c>
      <c r="W38" s="7">
        <f t="shared" si="5"/>
        <v>2609</v>
      </c>
    </row>
    <row r="39" spans="1:23" ht="14.25" customHeight="1">
      <c r="A39" s="31"/>
      <c r="B39" s="31"/>
      <c r="C39" s="12"/>
      <c r="D39" s="31"/>
      <c r="E39" s="31"/>
      <c r="F39" s="31"/>
      <c r="G39" s="18" t="s">
        <v>124</v>
      </c>
      <c r="H39" s="7" t="s">
        <v>56</v>
      </c>
      <c r="I39" s="7"/>
      <c r="J39" s="7">
        <v>30.370456000000001</v>
      </c>
      <c r="K39" s="7">
        <v>76.885941000000003</v>
      </c>
      <c r="L39" s="7" t="s">
        <v>91</v>
      </c>
      <c r="M39" s="16">
        <v>45663</v>
      </c>
      <c r="N39" s="7"/>
      <c r="O39" s="7"/>
      <c r="P39" s="7"/>
      <c r="Q39" s="7"/>
      <c r="R39" s="42"/>
      <c r="S39" s="7"/>
      <c r="T39" s="7">
        <v>48</v>
      </c>
      <c r="U39" s="7">
        <v>18.5</v>
      </c>
      <c r="V39" s="7">
        <f t="shared" si="4"/>
        <v>888</v>
      </c>
      <c r="W39" s="7">
        <f t="shared" si="5"/>
        <v>3497</v>
      </c>
    </row>
    <row r="40" spans="1:23" ht="14.25" customHeight="1">
      <c r="A40" s="31"/>
      <c r="B40" s="31"/>
      <c r="C40" s="12"/>
      <c r="D40" s="31"/>
      <c r="E40" s="31"/>
      <c r="F40" s="31"/>
      <c r="G40" s="18" t="s">
        <v>124</v>
      </c>
      <c r="H40" s="7" t="s">
        <v>56</v>
      </c>
      <c r="I40" s="7"/>
      <c r="J40" s="7">
        <v>30.322724999999998</v>
      </c>
      <c r="K40" s="7">
        <v>76.886189000000002</v>
      </c>
      <c r="L40" s="7" t="s">
        <v>92</v>
      </c>
      <c r="M40" s="16">
        <v>45694</v>
      </c>
      <c r="N40" s="7"/>
      <c r="O40" s="7"/>
      <c r="P40" s="7"/>
      <c r="Q40" s="7"/>
      <c r="R40" s="42"/>
      <c r="S40" s="7"/>
      <c r="T40" s="7">
        <v>36</v>
      </c>
      <c r="U40" s="7">
        <v>11</v>
      </c>
      <c r="V40" s="7">
        <f t="shared" si="4"/>
        <v>396</v>
      </c>
      <c r="W40" s="7">
        <f t="shared" si="5"/>
        <v>3893</v>
      </c>
    </row>
    <row r="41" spans="1:23" ht="14.25" customHeight="1">
      <c r="A41" s="31"/>
      <c r="B41" s="31"/>
      <c r="C41" s="12"/>
      <c r="D41" s="31"/>
      <c r="E41" s="31"/>
      <c r="F41" s="31"/>
      <c r="G41" s="18" t="s">
        <v>124</v>
      </c>
      <c r="H41" s="7" t="s">
        <v>56</v>
      </c>
      <c r="I41" s="7"/>
      <c r="J41" s="7">
        <v>30.336013999999999</v>
      </c>
      <c r="K41" s="7">
        <v>76.892304999999993</v>
      </c>
      <c r="L41" s="7" t="s">
        <v>93</v>
      </c>
      <c r="M41" s="16">
        <v>45694</v>
      </c>
      <c r="N41" s="7"/>
      <c r="O41" s="7"/>
      <c r="P41" s="7"/>
      <c r="Q41" s="7"/>
      <c r="R41" s="42"/>
      <c r="S41" s="7"/>
      <c r="T41" s="7">
        <v>45</v>
      </c>
      <c r="U41" s="7">
        <v>16</v>
      </c>
      <c r="V41" s="7">
        <f t="shared" si="4"/>
        <v>720</v>
      </c>
      <c r="W41" s="7">
        <f t="shared" si="5"/>
        <v>4613</v>
      </c>
    </row>
    <row r="42" spans="1:23" ht="14.25" customHeight="1">
      <c r="A42" s="32"/>
      <c r="B42" s="32"/>
      <c r="C42" s="12"/>
      <c r="D42" s="32"/>
      <c r="E42" s="32"/>
      <c r="F42" s="32"/>
      <c r="G42" s="18" t="s">
        <v>124</v>
      </c>
      <c r="H42" s="7" t="s">
        <v>56</v>
      </c>
      <c r="I42" s="7"/>
      <c r="J42" s="7">
        <v>30.996915999999999</v>
      </c>
      <c r="K42" s="7">
        <v>76.892049999999998</v>
      </c>
      <c r="L42" s="7" t="s">
        <v>94</v>
      </c>
      <c r="M42" s="16">
        <v>45694</v>
      </c>
      <c r="N42" s="7"/>
      <c r="O42" s="7"/>
      <c r="P42" s="7"/>
      <c r="Q42" s="7"/>
      <c r="R42" s="43"/>
      <c r="S42" s="7"/>
      <c r="T42" s="7">
        <v>40</v>
      </c>
      <c r="U42" s="7">
        <v>13</v>
      </c>
      <c r="V42" s="7">
        <f t="shared" si="4"/>
        <v>520</v>
      </c>
      <c r="W42" s="13">
        <f t="shared" si="5"/>
        <v>5133</v>
      </c>
    </row>
    <row r="43" spans="1:23" ht="14.25" customHeight="1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40"/>
    </row>
    <row r="44" spans="1:23" ht="14.25" customHeight="1">
      <c r="A44" s="30">
        <v>5</v>
      </c>
      <c r="B44" s="30" t="s">
        <v>95</v>
      </c>
      <c r="C44" s="12"/>
      <c r="D44" s="33" t="s">
        <v>125</v>
      </c>
      <c r="E44" s="33" t="s">
        <v>56</v>
      </c>
      <c r="F44" s="30"/>
      <c r="G44" s="7" t="s">
        <v>96</v>
      </c>
      <c r="H44" s="7" t="s">
        <v>56</v>
      </c>
      <c r="I44" s="7"/>
      <c r="J44" s="7">
        <v>30.203536</v>
      </c>
      <c r="K44" s="7">
        <v>77.035520000000005</v>
      </c>
      <c r="L44" s="7" t="s">
        <v>26</v>
      </c>
      <c r="M44" s="16">
        <v>45783</v>
      </c>
      <c r="N44" s="7"/>
      <c r="O44" s="7"/>
      <c r="P44" s="7"/>
      <c r="Q44" s="7"/>
      <c r="R44" s="44" t="s">
        <v>121</v>
      </c>
      <c r="S44" s="7">
        <v>3500</v>
      </c>
      <c r="T44" s="7">
        <v>44</v>
      </c>
      <c r="U44" s="7">
        <v>14</v>
      </c>
      <c r="V44" s="7">
        <f>+T44*U44</f>
        <v>616</v>
      </c>
      <c r="W44" s="7">
        <f>+V44</f>
        <v>616</v>
      </c>
    </row>
    <row r="45" spans="1:23" ht="14.25" customHeight="1">
      <c r="A45" s="31"/>
      <c r="B45" s="31"/>
      <c r="C45" s="12"/>
      <c r="D45" s="31"/>
      <c r="E45" s="31"/>
      <c r="F45" s="31"/>
      <c r="G45" s="7" t="s">
        <v>96</v>
      </c>
      <c r="H45" s="7" t="s">
        <v>56</v>
      </c>
      <c r="I45" s="7"/>
      <c r="J45" s="7">
        <v>30.203762000000001</v>
      </c>
      <c r="K45" s="7">
        <v>77.034779</v>
      </c>
      <c r="L45" s="7" t="s">
        <v>30</v>
      </c>
      <c r="M45" s="16">
        <v>45783</v>
      </c>
      <c r="N45" s="7"/>
      <c r="O45" s="7"/>
      <c r="P45" s="7"/>
      <c r="Q45" s="7"/>
      <c r="R45" s="42"/>
      <c r="S45" s="7"/>
      <c r="T45" s="7"/>
      <c r="U45" s="7"/>
      <c r="V45" s="7">
        <v>250</v>
      </c>
      <c r="W45" s="7">
        <f>+W44+V45</f>
        <v>866</v>
      </c>
    </row>
    <row r="46" spans="1:23" ht="14.25" customHeight="1">
      <c r="A46" s="31"/>
      <c r="B46" s="31"/>
      <c r="C46" s="12"/>
      <c r="D46" s="31"/>
      <c r="E46" s="31"/>
      <c r="F46" s="31"/>
      <c r="G46" s="7" t="s">
        <v>96</v>
      </c>
      <c r="H46" s="7" t="s">
        <v>56</v>
      </c>
      <c r="I46" s="7"/>
      <c r="J46" s="7">
        <v>30.203709</v>
      </c>
      <c r="K46" s="7">
        <v>77.034558000000004</v>
      </c>
      <c r="L46" s="7" t="s">
        <v>33</v>
      </c>
      <c r="M46" s="16">
        <v>45783</v>
      </c>
      <c r="N46" s="7"/>
      <c r="O46" s="7"/>
      <c r="P46" s="7"/>
      <c r="Q46" s="7"/>
      <c r="R46" s="42"/>
      <c r="S46" s="7"/>
      <c r="T46" s="7"/>
      <c r="U46" s="7"/>
      <c r="V46" s="7">
        <v>250</v>
      </c>
      <c r="W46" s="7">
        <f t="shared" ref="W46:W51" si="6">+W45+V46</f>
        <v>1116</v>
      </c>
    </row>
    <row r="47" spans="1:23" ht="14.25" customHeight="1">
      <c r="A47" s="31"/>
      <c r="B47" s="31"/>
      <c r="C47" s="12"/>
      <c r="D47" s="31"/>
      <c r="E47" s="31"/>
      <c r="F47" s="31"/>
      <c r="G47" s="7" t="s">
        <v>96</v>
      </c>
      <c r="H47" s="7" t="s">
        <v>56</v>
      </c>
      <c r="I47" s="7"/>
      <c r="J47" s="7">
        <v>30.203816</v>
      </c>
      <c r="K47" s="7">
        <v>77.034768</v>
      </c>
      <c r="L47" s="7" t="s">
        <v>36</v>
      </c>
      <c r="M47" s="16">
        <v>45783</v>
      </c>
      <c r="N47" s="7"/>
      <c r="O47" s="7"/>
      <c r="P47" s="7"/>
      <c r="Q47" s="7"/>
      <c r="R47" s="42"/>
      <c r="S47" s="7"/>
      <c r="T47" s="7"/>
      <c r="U47" s="7"/>
      <c r="V47" s="7">
        <v>250</v>
      </c>
      <c r="W47" s="7">
        <f t="shared" si="6"/>
        <v>1366</v>
      </c>
    </row>
    <row r="48" spans="1:23" ht="14.25" customHeight="1">
      <c r="A48" s="31"/>
      <c r="B48" s="31"/>
      <c r="C48" s="12"/>
      <c r="D48" s="31"/>
      <c r="E48" s="31"/>
      <c r="F48" s="31"/>
      <c r="G48" s="7" t="s">
        <v>96</v>
      </c>
      <c r="H48" s="7" t="s">
        <v>56</v>
      </c>
      <c r="I48" s="7"/>
      <c r="J48" s="7">
        <v>30.203388</v>
      </c>
      <c r="K48" s="7">
        <v>77.035844999999995</v>
      </c>
      <c r="L48" s="7" t="s">
        <v>39</v>
      </c>
      <c r="M48" s="16">
        <v>45814</v>
      </c>
      <c r="N48" s="7"/>
      <c r="O48" s="7"/>
      <c r="P48" s="7"/>
      <c r="Q48" s="7"/>
      <c r="R48" s="42"/>
      <c r="S48" s="7"/>
      <c r="T48" s="7">
        <v>45</v>
      </c>
      <c r="U48" s="7">
        <v>17</v>
      </c>
      <c r="V48" s="7">
        <f>+T48*U48</f>
        <v>765</v>
      </c>
      <c r="W48" s="7">
        <f t="shared" si="6"/>
        <v>2131</v>
      </c>
    </row>
    <row r="49" spans="1:23" ht="14.25" customHeight="1">
      <c r="A49" s="31"/>
      <c r="B49" s="31"/>
      <c r="C49" s="12"/>
      <c r="D49" s="31"/>
      <c r="E49" s="31"/>
      <c r="F49" s="31"/>
      <c r="G49" s="7" t="s">
        <v>96</v>
      </c>
      <c r="H49" s="7" t="s">
        <v>56</v>
      </c>
      <c r="I49" s="7"/>
      <c r="J49" s="7">
        <v>30.203379999999999</v>
      </c>
      <c r="K49" s="7">
        <v>77.035994000000002</v>
      </c>
      <c r="L49" s="7" t="s">
        <v>42</v>
      </c>
      <c r="M49" s="16">
        <v>45814</v>
      </c>
      <c r="N49" s="7"/>
      <c r="O49" s="7"/>
      <c r="P49" s="7"/>
      <c r="Q49" s="7"/>
      <c r="R49" s="42"/>
      <c r="S49" s="7"/>
      <c r="T49" s="7"/>
      <c r="U49" s="7"/>
      <c r="V49" s="7">
        <v>150</v>
      </c>
      <c r="W49" s="7">
        <f t="shared" si="6"/>
        <v>2281</v>
      </c>
    </row>
    <row r="50" spans="1:23" ht="14.25" customHeight="1">
      <c r="A50" s="31"/>
      <c r="B50" s="31"/>
      <c r="C50" s="12"/>
      <c r="D50" s="31"/>
      <c r="E50" s="31"/>
      <c r="F50" s="31"/>
      <c r="G50" s="7" t="s">
        <v>96</v>
      </c>
      <c r="H50" s="7" t="s">
        <v>56</v>
      </c>
      <c r="I50" s="7"/>
      <c r="J50" s="7">
        <v>30.207508000000001</v>
      </c>
      <c r="K50" s="7">
        <v>77.036395999999996</v>
      </c>
      <c r="L50" s="7" t="s">
        <v>44</v>
      </c>
      <c r="M50" s="16">
        <v>45814</v>
      </c>
      <c r="N50" s="7"/>
      <c r="O50" s="7"/>
      <c r="P50" s="7"/>
      <c r="Q50" s="7"/>
      <c r="R50" s="42"/>
      <c r="S50" s="7"/>
      <c r="T50" s="7">
        <v>32</v>
      </c>
      <c r="U50" s="7">
        <v>15</v>
      </c>
      <c r="V50" s="7">
        <f>+T50*U50</f>
        <v>480</v>
      </c>
      <c r="W50" s="7">
        <f t="shared" si="6"/>
        <v>2761</v>
      </c>
    </row>
    <row r="51" spans="1:23" ht="14.25" customHeight="1">
      <c r="A51" s="32"/>
      <c r="B51" s="32"/>
      <c r="C51" s="12"/>
      <c r="D51" s="32"/>
      <c r="E51" s="32"/>
      <c r="F51" s="32"/>
      <c r="G51" s="7" t="s">
        <v>96</v>
      </c>
      <c r="H51" s="18" t="s">
        <v>56</v>
      </c>
      <c r="I51" s="7"/>
      <c r="J51" s="7">
        <v>30.207507</v>
      </c>
      <c r="K51" s="7">
        <v>77.036562000000004</v>
      </c>
      <c r="L51" s="7" t="s">
        <v>47</v>
      </c>
      <c r="M51" s="16">
        <v>45814</v>
      </c>
      <c r="N51" s="7"/>
      <c r="O51" s="7"/>
      <c r="P51" s="7"/>
      <c r="Q51" s="7"/>
      <c r="R51" s="43"/>
      <c r="S51" s="7"/>
      <c r="T51" s="7">
        <v>45</v>
      </c>
      <c r="U51" s="7">
        <v>17</v>
      </c>
      <c r="V51" s="7">
        <f>+T51*U51</f>
        <v>765</v>
      </c>
      <c r="W51" s="13">
        <f t="shared" si="6"/>
        <v>3526</v>
      </c>
    </row>
    <row r="52" spans="1:23" ht="14.25" customHeight="1">
      <c r="A52" s="47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9"/>
    </row>
    <row r="53" spans="1:23" ht="14.25" customHeight="1">
      <c r="A53" s="30">
        <v>6</v>
      </c>
      <c r="B53" s="30" t="s">
        <v>97</v>
      </c>
      <c r="C53" s="12"/>
      <c r="D53" s="33" t="s">
        <v>125</v>
      </c>
      <c r="E53" s="33" t="s">
        <v>56</v>
      </c>
      <c r="F53" s="30">
        <v>9802023525</v>
      </c>
      <c r="G53" s="7" t="s">
        <v>98</v>
      </c>
      <c r="H53" s="7" t="s">
        <v>99</v>
      </c>
      <c r="I53" s="7"/>
      <c r="J53" s="7">
        <v>30.380559000000002</v>
      </c>
      <c r="K53" s="7">
        <v>77.222245000000001</v>
      </c>
      <c r="L53" s="7" t="s">
        <v>26</v>
      </c>
      <c r="M53" s="16">
        <v>45875</v>
      </c>
      <c r="N53" s="7"/>
      <c r="O53" s="7"/>
      <c r="P53" s="7"/>
      <c r="Q53" s="7"/>
      <c r="R53" s="41" t="s">
        <v>121</v>
      </c>
      <c r="S53" s="7">
        <v>5000</v>
      </c>
      <c r="T53" s="7">
        <v>34</v>
      </c>
      <c r="U53" s="7">
        <v>14</v>
      </c>
      <c r="V53" s="7">
        <f>+T53*U53</f>
        <v>476</v>
      </c>
      <c r="W53" s="7">
        <f>+V53</f>
        <v>476</v>
      </c>
    </row>
    <row r="54" spans="1:23" ht="14.25" customHeight="1">
      <c r="A54" s="31"/>
      <c r="B54" s="31"/>
      <c r="C54" s="12"/>
      <c r="D54" s="31"/>
      <c r="E54" s="31"/>
      <c r="F54" s="31"/>
      <c r="G54" s="7" t="s">
        <v>98</v>
      </c>
      <c r="H54" s="7" t="s">
        <v>99</v>
      </c>
      <c r="I54" s="7"/>
      <c r="J54" s="7">
        <v>30.380559000000002</v>
      </c>
      <c r="K54" s="7">
        <v>77.222245000000001</v>
      </c>
      <c r="L54" s="7" t="s">
        <v>26</v>
      </c>
      <c r="M54" s="16">
        <v>45875</v>
      </c>
      <c r="N54" s="7"/>
      <c r="O54" s="7"/>
      <c r="P54" s="7"/>
      <c r="Q54" s="7"/>
      <c r="R54" s="42"/>
      <c r="S54" s="7"/>
      <c r="T54" s="7">
        <v>17</v>
      </c>
      <c r="U54" s="7">
        <v>6</v>
      </c>
      <c r="V54" s="7">
        <f t="shared" ref="V54:V67" si="7">+T54*U54</f>
        <v>102</v>
      </c>
      <c r="W54" s="7">
        <f>+W53+V54</f>
        <v>578</v>
      </c>
    </row>
    <row r="55" spans="1:23" ht="14.25" customHeight="1">
      <c r="A55" s="31"/>
      <c r="B55" s="31"/>
      <c r="C55" s="12"/>
      <c r="D55" s="31"/>
      <c r="E55" s="31"/>
      <c r="F55" s="31"/>
      <c r="G55" s="7" t="s">
        <v>98</v>
      </c>
      <c r="H55" s="7" t="s">
        <v>99</v>
      </c>
      <c r="I55" s="7"/>
      <c r="J55" s="7">
        <v>30.380559000000002</v>
      </c>
      <c r="K55" s="7">
        <v>77.222245000000001</v>
      </c>
      <c r="L55" s="7" t="s">
        <v>26</v>
      </c>
      <c r="M55" s="16">
        <v>45875</v>
      </c>
      <c r="N55" s="7"/>
      <c r="O55" s="7"/>
      <c r="P55" s="7"/>
      <c r="Q55" s="7"/>
      <c r="R55" s="42"/>
      <c r="S55" s="7"/>
      <c r="T55" s="7">
        <v>8</v>
      </c>
      <c r="U55" s="7">
        <v>11</v>
      </c>
      <c r="V55" s="7">
        <f t="shared" si="7"/>
        <v>88</v>
      </c>
      <c r="W55" s="7">
        <f t="shared" ref="W55:W67" si="8">+W54+V55</f>
        <v>666</v>
      </c>
    </row>
    <row r="56" spans="1:23" ht="14.25" customHeight="1">
      <c r="A56" s="31"/>
      <c r="B56" s="31"/>
      <c r="C56" s="12"/>
      <c r="D56" s="31"/>
      <c r="E56" s="31"/>
      <c r="F56" s="31"/>
      <c r="G56" s="7" t="s">
        <v>98</v>
      </c>
      <c r="H56" s="7" t="s">
        <v>99</v>
      </c>
      <c r="I56" s="7"/>
      <c r="J56" s="7">
        <v>30.380503000000001</v>
      </c>
      <c r="K56" s="7">
        <v>77.222339000000005</v>
      </c>
      <c r="L56" s="7" t="s">
        <v>30</v>
      </c>
      <c r="M56" s="16">
        <v>45875</v>
      </c>
      <c r="N56" s="7"/>
      <c r="O56" s="7"/>
      <c r="P56" s="7"/>
      <c r="Q56" s="7"/>
      <c r="R56" s="42"/>
      <c r="S56" s="7"/>
      <c r="T56" s="7">
        <v>11</v>
      </c>
      <c r="U56" s="7">
        <v>16</v>
      </c>
      <c r="V56" s="7">
        <f t="shared" si="7"/>
        <v>176</v>
      </c>
      <c r="W56" s="7">
        <f t="shared" si="8"/>
        <v>842</v>
      </c>
    </row>
    <row r="57" spans="1:23" ht="14.25" customHeight="1">
      <c r="A57" s="31"/>
      <c r="B57" s="31"/>
      <c r="C57" s="12"/>
      <c r="D57" s="31"/>
      <c r="E57" s="31"/>
      <c r="F57" s="31"/>
      <c r="G57" s="7" t="s">
        <v>98</v>
      </c>
      <c r="H57" s="7" t="s">
        <v>99</v>
      </c>
      <c r="I57" s="7"/>
      <c r="J57" s="7">
        <v>30.380824</v>
      </c>
      <c r="K57" s="7">
        <v>77.222571000000002</v>
      </c>
      <c r="L57" s="7" t="s">
        <v>33</v>
      </c>
      <c r="M57" s="16">
        <v>45875</v>
      </c>
      <c r="N57" s="7"/>
      <c r="O57" s="7"/>
      <c r="P57" s="7"/>
      <c r="Q57" s="7"/>
      <c r="R57" s="42"/>
      <c r="S57" s="7"/>
      <c r="T57" s="7">
        <v>21</v>
      </c>
      <c r="U57" s="7">
        <v>16</v>
      </c>
      <c r="V57" s="7">
        <f t="shared" si="7"/>
        <v>336</v>
      </c>
      <c r="W57" s="7">
        <f t="shared" si="8"/>
        <v>1178</v>
      </c>
    </row>
    <row r="58" spans="1:23" ht="14.25" customHeight="1">
      <c r="A58" s="31"/>
      <c r="B58" s="31"/>
      <c r="C58" s="12"/>
      <c r="D58" s="31"/>
      <c r="E58" s="31"/>
      <c r="F58" s="31"/>
      <c r="G58" s="7" t="s">
        <v>98</v>
      </c>
      <c r="H58" s="7" t="s">
        <v>99</v>
      </c>
      <c r="I58" s="7"/>
      <c r="J58" s="7">
        <v>30.380766000000001</v>
      </c>
      <c r="K58" s="7">
        <v>77.222559000000004</v>
      </c>
      <c r="L58" s="7" t="s">
        <v>36</v>
      </c>
      <c r="M58" s="16">
        <v>45875</v>
      </c>
      <c r="N58" s="7"/>
      <c r="O58" s="7"/>
      <c r="P58" s="7"/>
      <c r="Q58" s="7"/>
      <c r="R58" s="42"/>
      <c r="S58" s="7"/>
      <c r="T58" s="7">
        <v>24</v>
      </c>
      <c r="U58" s="7">
        <v>15</v>
      </c>
      <c r="V58" s="7">
        <f t="shared" si="7"/>
        <v>360</v>
      </c>
      <c r="W58" s="7">
        <f t="shared" si="8"/>
        <v>1538</v>
      </c>
    </row>
    <row r="59" spans="1:23" ht="14.25" customHeight="1">
      <c r="A59" s="31"/>
      <c r="B59" s="31"/>
      <c r="C59" s="12"/>
      <c r="D59" s="31"/>
      <c r="E59" s="31"/>
      <c r="F59" s="31"/>
      <c r="G59" s="7" t="s">
        <v>98</v>
      </c>
      <c r="H59" s="7" t="s">
        <v>99</v>
      </c>
      <c r="I59" s="7"/>
      <c r="J59" s="7">
        <v>30.380554</v>
      </c>
      <c r="K59" s="7">
        <v>77.222245999999998</v>
      </c>
      <c r="L59" s="7" t="s">
        <v>39</v>
      </c>
      <c r="M59" s="16">
        <v>45875</v>
      </c>
      <c r="N59" s="7"/>
      <c r="O59" s="7"/>
      <c r="P59" s="7"/>
      <c r="Q59" s="7"/>
      <c r="R59" s="42"/>
      <c r="S59" s="7"/>
      <c r="T59" s="7">
        <v>10</v>
      </c>
      <c r="U59" s="7">
        <v>4</v>
      </c>
      <c r="V59" s="7">
        <f t="shared" si="7"/>
        <v>40</v>
      </c>
      <c r="W59" s="7">
        <f t="shared" si="8"/>
        <v>1578</v>
      </c>
    </row>
    <row r="60" spans="1:23" ht="14.25" customHeight="1">
      <c r="A60" s="31"/>
      <c r="B60" s="31"/>
      <c r="C60" s="12"/>
      <c r="D60" s="31"/>
      <c r="E60" s="31"/>
      <c r="F60" s="31"/>
      <c r="G60" s="7" t="s">
        <v>98</v>
      </c>
      <c r="H60" s="7" t="s">
        <v>99</v>
      </c>
      <c r="I60" s="7"/>
      <c r="J60" s="7">
        <v>30.389019999999999</v>
      </c>
      <c r="K60" s="7">
        <v>77.219374999999999</v>
      </c>
      <c r="L60" s="7" t="s">
        <v>42</v>
      </c>
      <c r="M60" s="16">
        <v>45906</v>
      </c>
      <c r="N60" s="7"/>
      <c r="O60" s="7"/>
      <c r="P60" s="7"/>
      <c r="Q60" s="7"/>
      <c r="R60" s="42"/>
      <c r="S60" s="7"/>
      <c r="T60" s="7">
        <v>62</v>
      </c>
      <c r="U60" s="7">
        <v>18</v>
      </c>
      <c r="V60" s="7">
        <f t="shared" si="7"/>
        <v>1116</v>
      </c>
      <c r="W60" s="7">
        <f t="shared" si="8"/>
        <v>2694</v>
      </c>
    </row>
    <row r="61" spans="1:23" ht="14.25" customHeight="1">
      <c r="A61" s="31"/>
      <c r="B61" s="31"/>
      <c r="C61" s="12"/>
      <c r="D61" s="31"/>
      <c r="E61" s="31"/>
      <c r="F61" s="31"/>
      <c r="G61" s="7" t="s">
        <v>98</v>
      </c>
      <c r="H61" s="7" t="s">
        <v>99</v>
      </c>
      <c r="I61" s="7"/>
      <c r="J61" s="7">
        <v>30.380329</v>
      </c>
      <c r="K61" s="7">
        <v>77.222132000000002</v>
      </c>
      <c r="L61" s="7" t="s">
        <v>42</v>
      </c>
      <c r="M61" s="16">
        <v>45875</v>
      </c>
      <c r="N61" s="7"/>
      <c r="O61" s="7"/>
      <c r="P61" s="7"/>
      <c r="Q61" s="7"/>
      <c r="R61" s="42"/>
      <c r="S61" s="7"/>
      <c r="T61" s="7">
        <v>7</v>
      </c>
      <c r="U61" s="7">
        <v>4</v>
      </c>
      <c r="V61" s="7">
        <f t="shared" si="7"/>
        <v>28</v>
      </c>
      <c r="W61" s="7">
        <f t="shared" si="8"/>
        <v>2722</v>
      </c>
    </row>
    <row r="62" spans="1:23" ht="14.25" customHeight="1">
      <c r="A62" s="31"/>
      <c r="B62" s="31"/>
      <c r="C62" s="12"/>
      <c r="D62" s="31"/>
      <c r="E62" s="31"/>
      <c r="F62" s="31"/>
      <c r="G62" s="7" t="s">
        <v>98</v>
      </c>
      <c r="H62" s="7" t="s">
        <v>99</v>
      </c>
      <c r="I62" s="7"/>
      <c r="J62" s="7">
        <v>30.380490000000002</v>
      </c>
      <c r="K62" s="7">
        <v>77.222257999999997</v>
      </c>
      <c r="L62" s="7" t="s">
        <v>100</v>
      </c>
      <c r="M62" s="16">
        <v>45875</v>
      </c>
      <c r="N62" s="7"/>
      <c r="O62" s="7"/>
      <c r="P62" s="7"/>
      <c r="Q62" s="7"/>
      <c r="R62" s="42"/>
      <c r="S62" s="7"/>
      <c r="T62" s="7">
        <v>17</v>
      </c>
      <c r="U62" s="7">
        <v>6</v>
      </c>
      <c r="V62" s="7">
        <f t="shared" si="7"/>
        <v>102</v>
      </c>
      <c r="W62" s="7">
        <f t="shared" si="8"/>
        <v>2824</v>
      </c>
    </row>
    <row r="63" spans="1:23" ht="14.25" customHeight="1">
      <c r="A63" s="31"/>
      <c r="B63" s="31"/>
      <c r="C63" s="12"/>
      <c r="D63" s="31"/>
      <c r="E63" s="31"/>
      <c r="F63" s="31"/>
      <c r="G63" s="7" t="s">
        <v>98</v>
      </c>
      <c r="H63" s="7" t="s">
        <v>99</v>
      </c>
      <c r="I63" s="7"/>
      <c r="J63" s="7">
        <v>30.413965000000001</v>
      </c>
      <c r="K63" s="7">
        <v>77.221492999999995</v>
      </c>
      <c r="L63" s="7" t="s">
        <v>92</v>
      </c>
      <c r="M63" s="16">
        <v>45875</v>
      </c>
      <c r="N63" s="7"/>
      <c r="O63" s="7"/>
      <c r="P63" s="7"/>
      <c r="Q63" s="7"/>
      <c r="R63" s="42"/>
      <c r="S63" s="7"/>
      <c r="T63" s="7">
        <v>50</v>
      </c>
      <c r="U63" s="7">
        <v>6</v>
      </c>
      <c r="V63" s="7">
        <f t="shared" si="7"/>
        <v>300</v>
      </c>
      <c r="W63" s="7">
        <f t="shared" si="8"/>
        <v>3124</v>
      </c>
    </row>
    <row r="64" spans="1:23" ht="14.25" customHeight="1">
      <c r="A64" s="31"/>
      <c r="B64" s="31"/>
      <c r="C64" s="12"/>
      <c r="D64" s="31"/>
      <c r="E64" s="31"/>
      <c r="F64" s="31"/>
      <c r="G64" s="7" t="s">
        <v>98</v>
      </c>
      <c r="H64" s="7" t="s">
        <v>99</v>
      </c>
      <c r="I64" s="7"/>
      <c r="J64" s="7">
        <v>30.395985</v>
      </c>
      <c r="K64" s="7">
        <v>77.219543000000002</v>
      </c>
      <c r="L64" s="7" t="s">
        <v>93</v>
      </c>
      <c r="M64" s="16">
        <v>45875</v>
      </c>
      <c r="N64" s="7"/>
      <c r="O64" s="7"/>
      <c r="P64" s="7"/>
      <c r="Q64" s="7"/>
      <c r="R64" s="42"/>
      <c r="S64" s="7"/>
      <c r="T64" s="7">
        <v>46</v>
      </c>
      <c r="U64" s="7">
        <v>14</v>
      </c>
      <c r="V64" s="7">
        <f t="shared" si="7"/>
        <v>644</v>
      </c>
      <c r="W64" s="7">
        <f t="shared" si="8"/>
        <v>3768</v>
      </c>
    </row>
    <row r="65" spans="1:23" ht="14.25" customHeight="1">
      <c r="A65" s="31"/>
      <c r="B65" s="31"/>
      <c r="C65" s="12"/>
      <c r="D65" s="31"/>
      <c r="E65" s="31"/>
      <c r="F65" s="31"/>
      <c r="G65" s="7" t="s">
        <v>98</v>
      </c>
      <c r="H65" s="7" t="s">
        <v>99</v>
      </c>
      <c r="I65" s="7"/>
      <c r="J65" s="7">
        <v>30.395985</v>
      </c>
      <c r="K65" s="7">
        <v>77.219543000000002</v>
      </c>
      <c r="L65" s="7" t="s">
        <v>93</v>
      </c>
      <c r="M65" s="16">
        <v>45875</v>
      </c>
      <c r="N65" s="7"/>
      <c r="O65" s="7"/>
      <c r="P65" s="7"/>
      <c r="Q65" s="7"/>
      <c r="R65" s="42"/>
      <c r="S65" s="7"/>
      <c r="T65" s="7">
        <v>10</v>
      </c>
      <c r="U65" s="7">
        <v>7</v>
      </c>
      <c r="V65" s="7">
        <f t="shared" si="7"/>
        <v>70</v>
      </c>
      <c r="W65" s="7">
        <f t="shared" si="8"/>
        <v>3838</v>
      </c>
    </row>
    <row r="66" spans="1:23" ht="14.25" customHeight="1">
      <c r="A66" s="31"/>
      <c r="B66" s="31"/>
      <c r="C66" s="12"/>
      <c r="D66" s="31"/>
      <c r="E66" s="31"/>
      <c r="F66" s="31"/>
      <c r="G66" s="7" t="s">
        <v>98</v>
      </c>
      <c r="H66" s="7" t="s">
        <v>99</v>
      </c>
      <c r="I66" s="7"/>
      <c r="J66" s="7">
        <v>30.388176000000001</v>
      </c>
      <c r="K66" s="7">
        <v>77.225097000000005</v>
      </c>
      <c r="L66" s="7" t="s">
        <v>94</v>
      </c>
      <c r="M66" s="16">
        <v>45936</v>
      </c>
      <c r="N66" s="7"/>
      <c r="O66" s="7"/>
      <c r="P66" s="7"/>
      <c r="Q66" s="7"/>
      <c r="R66" s="42"/>
      <c r="S66" s="7"/>
      <c r="T66" s="7">
        <v>50</v>
      </c>
      <c r="U66" s="7">
        <v>18</v>
      </c>
      <c r="V66" s="7">
        <f t="shared" si="7"/>
        <v>900</v>
      </c>
      <c r="W66" s="7">
        <f t="shared" si="8"/>
        <v>4738</v>
      </c>
    </row>
    <row r="67" spans="1:23" ht="14.25" customHeight="1">
      <c r="A67" s="32"/>
      <c r="B67" s="32"/>
      <c r="C67" s="12"/>
      <c r="D67" s="32"/>
      <c r="E67" s="32"/>
      <c r="F67" s="32"/>
      <c r="G67" s="7" t="s">
        <v>98</v>
      </c>
      <c r="H67" s="7" t="s">
        <v>99</v>
      </c>
      <c r="I67" s="7"/>
      <c r="J67" s="7">
        <v>30.413713000000001</v>
      </c>
      <c r="K67" s="7">
        <v>77.220917999999998</v>
      </c>
      <c r="L67" s="7" t="s">
        <v>101</v>
      </c>
      <c r="M67" s="16">
        <v>45936</v>
      </c>
      <c r="N67" s="7"/>
      <c r="O67" s="7"/>
      <c r="P67" s="7"/>
      <c r="Q67" s="7"/>
      <c r="R67" s="43"/>
      <c r="S67" s="7"/>
      <c r="T67" s="7">
        <v>20</v>
      </c>
      <c r="U67" s="7">
        <v>8</v>
      </c>
      <c r="V67" s="7">
        <f t="shared" si="7"/>
        <v>160</v>
      </c>
      <c r="W67" s="17">
        <f t="shared" si="8"/>
        <v>4898</v>
      </c>
    </row>
    <row r="68" spans="1:23" ht="14.25" customHeight="1">
      <c r="A68" s="50"/>
      <c r="B68" s="36"/>
      <c r="C68" s="36"/>
      <c r="D68" s="36"/>
      <c r="E68" s="36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9"/>
    </row>
    <row r="69" spans="1:23" ht="14.25" customHeight="1">
      <c r="A69" s="25">
        <v>7</v>
      </c>
      <c r="B69" s="25" t="s">
        <v>102</v>
      </c>
      <c r="C69" s="14"/>
      <c r="D69" s="26" t="s">
        <v>125</v>
      </c>
      <c r="E69" s="26" t="s">
        <v>56</v>
      </c>
      <c r="F69" s="27">
        <v>9053154000</v>
      </c>
      <c r="G69" s="7" t="s">
        <v>103</v>
      </c>
      <c r="H69" s="7" t="s">
        <v>99</v>
      </c>
      <c r="I69" s="7"/>
      <c r="J69" s="7">
        <v>30.160512000000001</v>
      </c>
      <c r="K69" s="7">
        <v>77.305057000000005</v>
      </c>
      <c r="L69" s="7" t="s">
        <v>104</v>
      </c>
      <c r="M69" s="7" t="s">
        <v>105</v>
      </c>
      <c r="N69" s="7"/>
      <c r="O69" s="7"/>
      <c r="P69" s="7"/>
      <c r="Q69" s="7"/>
      <c r="R69" s="41" t="s">
        <v>121</v>
      </c>
      <c r="S69" s="7">
        <v>5000</v>
      </c>
      <c r="T69" s="7">
        <v>43</v>
      </c>
      <c r="U69" s="7">
        <v>7</v>
      </c>
      <c r="V69" s="7">
        <f>+T69*U69</f>
        <v>301</v>
      </c>
      <c r="W69" s="7">
        <f>+V69</f>
        <v>301</v>
      </c>
    </row>
    <row r="70" spans="1:23" ht="14.25" customHeight="1">
      <c r="A70" s="25"/>
      <c r="B70" s="25"/>
      <c r="C70" s="14"/>
      <c r="D70" s="25"/>
      <c r="E70" s="25"/>
      <c r="F70" s="28"/>
      <c r="G70" s="7" t="s">
        <v>103</v>
      </c>
      <c r="H70" s="7" t="s">
        <v>99</v>
      </c>
      <c r="I70" s="7"/>
      <c r="J70" s="7">
        <v>30.160564999999998</v>
      </c>
      <c r="K70" s="7">
        <v>77.305142000000004</v>
      </c>
      <c r="L70" s="7" t="s">
        <v>50</v>
      </c>
      <c r="M70" s="7" t="s">
        <v>105</v>
      </c>
      <c r="N70" s="7"/>
      <c r="O70" s="7"/>
      <c r="P70" s="7"/>
      <c r="Q70" s="7"/>
      <c r="R70" s="42"/>
      <c r="S70" s="7"/>
      <c r="T70" s="7">
        <v>25</v>
      </c>
      <c r="U70" s="7">
        <v>18</v>
      </c>
      <c r="V70" s="7">
        <f>+T70*U70</f>
        <v>450</v>
      </c>
      <c r="W70" s="7">
        <f>+W69+V70</f>
        <v>751</v>
      </c>
    </row>
    <row r="71" spans="1:23" ht="14.25" customHeight="1">
      <c r="A71" s="25"/>
      <c r="B71" s="25"/>
      <c r="C71" s="14"/>
      <c r="D71" s="25"/>
      <c r="E71" s="25"/>
      <c r="F71" s="28"/>
      <c r="G71" s="7" t="s">
        <v>103</v>
      </c>
      <c r="H71" s="7" t="s">
        <v>99</v>
      </c>
      <c r="I71" s="7"/>
      <c r="J71" s="7">
        <v>30.161314000000001</v>
      </c>
      <c r="K71" s="7">
        <v>77.303172000000004</v>
      </c>
      <c r="L71" s="7" t="s">
        <v>33</v>
      </c>
      <c r="M71" s="7" t="s">
        <v>105</v>
      </c>
      <c r="N71" s="7"/>
      <c r="O71" s="7"/>
      <c r="P71" s="7"/>
      <c r="Q71" s="7"/>
      <c r="R71" s="42"/>
      <c r="S71" s="7"/>
      <c r="T71" s="7"/>
      <c r="U71" s="7"/>
      <c r="V71" s="7">
        <v>50</v>
      </c>
      <c r="W71" s="7">
        <f t="shared" ref="W71:W89" si="9">+W70+V71</f>
        <v>801</v>
      </c>
    </row>
    <row r="72" spans="1:23" ht="14.25" customHeight="1">
      <c r="A72" s="25"/>
      <c r="B72" s="25"/>
      <c r="C72" s="14"/>
      <c r="D72" s="25"/>
      <c r="E72" s="25"/>
      <c r="F72" s="28"/>
      <c r="G72" s="7" t="s">
        <v>103</v>
      </c>
      <c r="H72" s="7" t="s">
        <v>99</v>
      </c>
      <c r="I72" s="7"/>
      <c r="J72" s="7">
        <v>30.132425999999999</v>
      </c>
      <c r="K72" s="7">
        <v>77.301805000000002</v>
      </c>
      <c r="L72" s="7" t="s">
        <v>36</v>
      </c>
      <c r="M72" s="7" t="s">
        <v>106</v>
      </c>
      <c r="N72" s="7"/>
      <c r="O72" s="7"/>
      <c r="P72" s="7"/>
      <c r="Q72" s="7"/>
      <c r="R72" s="42"/>
      <c r="S72" s="7"/>
      <c r="T72" s="7">
        <v>38</v>
      </c>
      <c r="U72" s="7">
        <v>14</v>
      </c>
      <c r="V72" s="7">
        <f t="shared" ref="V72:V84" si="10">+T72*U72</f>
        <v>532</v>
      </c>
      <c r="W72" s="7">
        <f t="shared" si="9"/>
        <v>1333</v>
      </c>
    </row>
    <row r="73" spans="1:23" ht="14.25" customHeight="1">
      <c r="A73" s="25"/>
      <c r="B73" s="25"/>
      <c r="C73" s="15"/>
      <c r="D73" s="25"/>
      <c r="E73" s="25"/>
      <c r="F73" s="28"/>
      <c r="G73" s="7" t="s">
        <v>103</v>
      </c>
      <c r="H73" s="7" t="s">
        <v>99</v>
      </c>
      <c r="I73" s="7"/>
      <c r="J73" s="7">
        <v>30.132425999999999</v>
      </c>
      <c r="K73" s="7">
        <v>77.301805000000002</v>
      </c>
      <c r="L73" s="7" t="s">
        <v>36</v>
      </c>
      <c r="M73" s="7" t="s">
        <v>106</v>
      </c>
      <c r="N73" s="7"/>
      <c r="O73" s="7"/>
      <c r="P73" s="7"/>
      <c r="Q73" s="7"/>
      <c r="R73" s="42"/>
      <c r="S73" s="7"/>
      <c r="T73" s="7">
        <v>20</v>
      </c>
      <c r="U73" s="7">
        <v>2</v>
      </c>
      <c r="V73" s="7">
        <f t="shared" si="10"/>
        <v>40</v>
      </c>
      <c r="W73" s="7">
        <f t="shared" si="9"/>
        <v>1373</v>
      </c>
    </row>
    <row r="74" spans="1:23" ht="14.25" customHeight="1">
      <c r="A74" s="25"/>
      <c r="B74" s="25"/>
      <c r="C74" s="14"/>
      <c r="D74" s="25"/>
      <c r="E74" s="25"/>
      <c r="F74" s="28"/>
      <c r="G74" s="7" t="s">
        <v>103</v>
      </c>
      <c r="H74" s="7" t="s">
        <v>99</v>
      </c>
      <c r="I74" s="7"/>
      <c r="J74" s="7">
        <v>30.118209</v>
      </c>
      <c r="K74" s="7">
        <v>77.287779999999998</v>
      </c>
      <c r="L74" s="7" t="s">
        <v>39</v>
      </c>
      <c r="M74" s="7" t="s">
        <v>106</v>
      </c>
      <c r="N74" s="7"/>
      <c r="O74" s="7"/>
      <c r="P74" s="7"/>
      <c r="Q74" s="7"/>
      <c r="R74" s="42"/>
      <c r="S74" s="7"/>
      <c r="T74" s="7">
        <v>15</v>
      </c>
      <c r="U74" s="7">
        <v>10</v>
      </c>
      <c r="V74" s="7">
        <f t="shared" si="10"/>
        <v>150</v>
      </c>
      <c r="W74" s="7">
        <f t="shared" si="9"/>
        <v>1523</v>
      </c>
    </row>
    <row r="75" spans="1:23" ht="14.25" customHeight="1">
      <c r="A75" s="25"/>
      <c r="B75" s="25"/>
      <c r="C75" s="14"/>
      <c r="D75" s="25"/>
      <c r="E75" s="25"/>
      <c r="F75" s="28"/>
      <c r="G75" s="7" t="s">
        <v>103</v>
      </c>
      <c r="H75" s="7" t="s">
        <v>99</v>
      </c>
      <c r="I75" s="7"/>
      <c r="J75" s="7">
        <v>30.134146999999999</v>
      </c>
      <c r="K75" s="7">
        <v>77.365354999999994</v>
      </c>
      <c r="L75" s="7" t="s">
        <v>42</v>
      </c>
      <c r="M75" s="7" t="s">
        <v>107</v>
      </c>
      <c r="N75" s="7"/>
      <c r="O75" s="7"/>
      <c r="P75" s="7"/>
      <c r="Q75" s="7"/>
      <c r="R75" s="42"/>
      <c r="S75" s="7"/>
      <c r="T75" s="7">
        <v>62</v>
      </c>
      <c r="U75" s="7">
        <v>13</v>
      </c>
      <c r="V75" s="7">
        <f t="shared" si="10"/>
        <v>806</v>
      </c>
      <c r="W75" s="7">
        <f t="shared" si="9"/>
        <v>2329</v>
      </c>
    </row>
    <row r="76" spans="1:23" ht="14.25" customHeight="1">
      <c r="A76" s="25"/>
      <c r="B76" s="25"/>
      <c r="C76" s="14"/>
      <c r="D76" s="25"/>
      <c r="E76" s="25"/>
      <c r="F76" s="28"/>
      <c r="G76" s="7" t="s">
        <v>103</v>
      </c>
      <c r="H76" s="7" t="s">
        <v>99</v>
      </c>
      <c r="I76" s="7"/>
      <c r="J76" s="7">
        <v>30.159438000000002</v>
      </c>
      <c r="K76" s="7">
        <v>77.333475000000007</v>
      </c>
      <c r="L76" s="7" t="s">
        <v>44</v>
      </c>
      <c r="M76" s="7" t="s">
        <v>107</v>
      </c>
      <c r="N76" s="7"/>
      <c r="O76" s="7"/>
      <c r="P76" s="7"/>
      <c r="Q76" s="7"/>
      <c r="R76" s="42"/>
      <c r="S76" s="7"/>
      <c r="T76" s="7">
        <v>65</v>
      </c>
      <c r="U76" s="7">
        <v>14</v>
      </c>
      <c r="V76" s="7">
        <f t="shared" si="10"/>
        <v>910</v>
      </c>
      <c r="W76" s="7">
        <f t="shared" si="9"/>
        <v>3239</v>
      </c>
    </row>
    <row r="77" spans="1:23" ht="14.25" customHeight="1">
      <c r="A77" s="25"/>
      <c r="B77" s="25"/>
      <c r="C77" s="14"/>
      <c r="D77" s="25"/>
      <c r="E77" s="25"/>
      <c r="F77" s="28"/>
      <c r="G77" s="7" t="s">
        <v>103</v>
      </c>
      <c r="H77" s="7" t="s">
        <v>99</v>
      </c>
      <c r="I77" s="7"/>
      <c r="J77" s="7">
        <v>30.175657000000001</v>
      </c>
      <c r="K77" s="7">
        <v>77.311099999999996</v>
      </c>
      <c r="L77" s="7" t="s">
        <v>93</v>
      </c>
      <c r="M77" s="7" t="s">
        <v>108</v>
      </c>
      <c r="N77" s="7"/>
      <c r="O77" s="7"/>
      <c r="P77" s="7"/>
      <c r="Q77" s="7"/>
      <c r="R77" s="42"/>
      <c r="S77" s="7"/>
      <c r="T77" s="7">
        <v>65</v>
      </c>
      <c r="U77" s="7">
        <v>6.5</v>
      </c>
      <c r="V77" s="7">
        <f t="shared" si="10"/>
        <v>422.5</v>
      </c>
      <c r="W77" s="7">
        <f t="shared" si="9"/>
        <v>3661.5</v>
      </c>
    </row>
    <row r="78" spans="1:23" ht="14.25" customHeight="1">
      <c r="A78" s="25"/>
      <c r="B78" s="25"/>
      <c r="C78" s="14"/>
      <c r="D78" s="25"/>
      <c r="E78" s="25"/>
      <c r="F78" s="28"/>
      <c r="G78" s="7" t="s">
        <v>103</v>
      </c>
      <c r="H78" s="7" t="s">
        <v>99</v>
      </c>
      <c r="I78" s="7"/>
      <c r="J78" s="7">
        <v>30.180972000000001</v>
      </c>
      <c r="K78" s="7">
        <v>77.313908999999995</v>
      </c>
      <c r="L78" s="7" t="s">
        <v>94</v>
      </c>
      <c r="M78" s="7" t="s">
        <v>108</v>
      </c>
      <c r="N78" s="7"/>
      <c r="O78" s="7"/>
      <c r="P78" s="7"/>
      <c r="Q78" s="7"/>
      <c r="R78" s="42"/>
      <c r="S78" s="7"/>
      <c r="T78" s="7">
        <v>53</v>
      </c>
      <c r="U78" s="7">
        <v>13</v>
      </c>
      <c r="V78" s="7">
        <f t="shared" si="10"/>
        <v>689</v>
      </c>
      <c r="W78" s="7">
        <f t="shared" si="9"/>
        <v>4350.5</v>
      </c>
    </row>
    <row r="79" spans="1:23" ht="14.25" customHeight="1">
      <c r="A79" s="25"/>
      <c r="B79" s="25"/>
      <c r="C79" s="14"/>
      <c r="D79" s="25"/>
      <c r="E79" s="25"/>
      <c r="F79" s="28"/>
      <c r="G79" s="7" t="s">
        <v>103</v>
      </c>
      <c r="H79" s="7" t="s">
        <v>99</v>
      </c>
      <c r="I79" s="7"/>
      <c r="J79" s="7">
        <v>30.183641999999999</v>
      </c>
      <c r="K79" s="7">
        <v>77.315976000000006</v>
      </c>
      <c r="L79" s="7" t="s">
        <v>101</v>
      </c>
      <c r="M79" s="7" t="s">
        <v>108</v>
      </c>
      <c r="N79" s="7"/>
      <c r="O79" s="7"/>
      <c r="P79" s="7"/>
      <c r="Q79" s="7"/>
      <c r="R79" s="42"/>
      <c r="S79" s="7"/>
      <c r="T79" s="7">
        <v>66</v>
      </c>
      <c r="U79" s="7">
        <v>10</v>
      </c>
      <c r="V79" s="7">
        <f t="shared" si="10"/>
        <v>660</v>
      </c>
      <c r="W79" s="7">
        <f t="shared" si="9"/>
        <v>5010.5</v>
      </c>
    </row>
    <row r="80" spans="1:23" ht="14.25" customHeight="1">
      <c r="A80" s="25"/>
      <c r="B80" s="25"/>
      <c r="C80" s="14"/>
      <c r="D80" s="25"/>
      <c r="E80" s="25"/>
      <c r="F80" s="28"/>
      <c r="G80" s="7" t="s">
        <v>103</v>
      </c>
      <c r="H80" s="7" t="s">
        <v>99</v>
      </c>
      <c r="I80" s="7"/>
      <c r="J80" s="7">
        <v>30.093146999999998</v>
      </c>
      <c r="K80" s="7">
        <v>77.221380999999994</v>
      </c>
      <c r="L80" s="7" t="s">
        <v>109</v>
      </c>
      <c r="M80" s="7" t="s">
        <v>110</v>
      </c>
      <c r="N80" s="7"/>
      <c r="O80" s="7"/>
      <c r="P80" s="7"/>
      <c r="Q80" s="7"/>
      <c r="R80" s="42"/>
      <c r="S80" s="7"/>
      <c r="T80" s="7">
        <v>15</v>
      </c>
      <c r="U80" s="7">
        <v>15</v>
      </c>
      <c r="V80" s="7">
        <f t="shared" si="10"/>
        <v>225</v>
      </c>
      <c r="W80" s="7">
        <f t="shared" si="9"/>
        <v>5235.5</v>
      </c>
    </row>
    <row r="81" spans="1:23" ht="14.25" customHeight="1">
      <c r="A81" s="25"/>
      <c r="B81" s="25"/>
      <c r="C81" s="14"/>
      <c r="D81" s="25"/>
      <c r="E81" s="25"/>
      <c r="F81" s="28"/>
      <c r="G81" s="7" t="s">
        <v>103</v>
      </c>
      <c r="H81" s="7" t="s">
        <v>99</v>
      </c>
      <c r="I81" s="7"/>
      <c r="J81" s="7">
        <v>30.093139999999998</v>
      </c>
      <c r="K81" s="7">
        <v>77.221430999999995</v>
      </c>
      <c r="L81" s="7" t="s">
        <v>111</v>
      </c>
      <c r="M81" s="7" t="s">
        <v>110</v>
      </c>
      <c r="N81" s="7"/>
      <c r="O81" s="7"/>
      <c r="P81" s="7"/>
      <c r="Q81" s="7"/>
      <c r="R81" s="42"/>
      <c r="S81" s="7"/>
      <c r="T81" s="7">
        <v>34</v>
      </c>
      <c r="U81" s="7">
        <v>15</v>
      </c>
      <c r="V81" s="7">
        <f t="shared" si="10"/>
        <v>510</v>
      </c>
      <c r="W81" s="7">
        <f t="shared" si="9"/>
        <v>5745.5</v>
      </c>
    </row>
    <row r="82" spans="1:23" ht="14.25" customHeight="1">
      <c r="A82" s="25"/>
      <c r="B82" s="25"/>
      <c r="C82" s="14"/>
      <c r="D82" s="25"/>
      <c r="E82" s="25"/>
      <c r="F82" s="28"/>
      <c r="G82" s="7" t="s">
        <v>103</v>
      </c>
      <c r="H82" s="7" t="s">
        <v>99</v>
      </c>
      <c r="I82" s="7"/>
      <c r="J82" s="7">
        <v>30.093036000000001</v>
      </c>
      <c r="K82" s="7">
        <v>77.221525</v>
      </c>
      <c r="L82" s="7" t="s">
        <v>112</v>
      </c>
      <c r="M82" s="7" t="s">
        <v>110</v>
      </c>
      <c r="N82" s="7"/>
      <c r="O82" s="7"/>
      <c r="P82" s="7"/>
      <c r="Q82" s="7"/>
      <c r="R82" s="42"/>
      <c r="S82" s="7"/>
      <c r="T82" s="7">
        <v>30</v>
      </c>
      <c r="U82" s="7">
        <v>16</v>
      </c>
      <c r="V82" s="7">
        <f t="shared" si="10"/>
        <v>480</v>
      </c>
      <c r="W82" s="7">
        <f t="shared" si="9"/>
        <v>6225.5</v>
      </c>
    </row>
    <row r="83" spans="1:23" ht="14.25" customHeight="1">
      <c r="A83" s="25"/>
      <c r="B83" s="25"/>
      <c r="C83" s="14"/>
      <c r="D83" s="25"/>
      <c r="E83" s="25"/>
      <c r="F83" s="28"/>
      <c r="G83" s="7" t="s">
        <v>103</v>
      </c>
      <c r="H83" s="7" t="s">
        <v>99</v>
      </c>
      <c r="I83" s="7"/>
      <c r="J83" s="7">
        <v>30.093018000000001</v>
      </c>
      <c r="K83" s="7">
        <v>77.221351999999996</v>
      </c>
      <c r="L83" s="7" t="s">
        <v>113</v>
      </c>
      <c r="M83" s="7" t="s">
        <v>110</v>
      </c>
      <c r="N83" s="7"/>
      <c r="O83" s="7"/>
      <c r="P83" s="7"/>
      <c r="Q83" s="7"/>
      <c r="R83" s="42"/>
      <c r="S83" s="7"/>
      <c r="T83" s="7">
        <v>20</v>
      </c>
      <c r="U83" s="7">
        <v>15</v>
      </c>
      <c r="V83" s="7">
        <f t="shared" si="10"/>
        <v>300</v>
      </c>
      <c r="W83" s="7">
        <f t="shared" si="9"/>
        <v>6525.5</v>
      </c>
    </row>
    <row r="84" spans="1:23" ht="14.25" customHeight="1">
      <c r="A84" s="25"/>
      <c r="B84" s="25"/>
      <c r="C84" s="14"/>
      <c r="D84" s="25"/>
      <c r="E84" s="25"/>
      <c r="F84" s="28"/>
      <c r="G84" s="7" t="s">
        <v>103</v>
      </c>
      <c r="H84" s="7" t="s">
        <v>99</v>
      </c>
      <c r="I84" s="7"/>
      <c r="J84" s="7">
        <v>30.093025999999998</v>
      </c>
      <c r="K84" s="7">
        <v>77.221363999999994</v>
      </c>
      <c r="L84" s="7" t="s">
        <v>114</v>
      </c>
      <c r="M84" s="7" t="s">
        <v>110</v>
      </c>
      <c r="N84" s="7"/>
      <c r="O84" s="7"/>
      <c r="P84" s="7"/>
      <c r="Q84" s="7"/>
      <c r="R84" s="42"/>
      <c r="S84" s="7"/>
      <c r="T84" s="7">
        <v>15</v>
      </c>
      <c r="U84" s="7">
        <v>12</v>
      </c>
      <c r="V84" s="7">
        <f t="shared" si="10"/>
        <v>180</v>
      </c>
      <c r="W84" s="7">
        <f t="shared" si="9"/>
        <v>6705.5</v>
      </c>
    </row>
    <row r="85" spans="1:23" ht="14.25" customHeight="1">
      <c r="A85" s="25"/>
      <c r="B85" s="25"/>
      <c r="C85" s="14"/>
      <c r="D85" s="25"/>
      <c r="E85" s="25"/>
      <c r="F85" s="28"/>
      <c r="G85" s="7" t="s">
        <v>103</v>
      </c>
      <c r="H85" s="7" t="s">
        <v>99</v>
      </c>
      <c r="I85" s="7"/>
      <c r="J85" s="7">
        <v>30.093102999999999</v>
      </c>
      <c r="K85" s="7">
        <v>77.221481999999995</v>
      </c>
      <c r="L85" s="7" t="s">
        <v>115</v>
      </c>
      <c r="M85" s="7" t="s">
        <v>110</v>
      </c>
      <c r="N85" s="7"/>
      <c r="O85" s="7"/>
      <c r="P85" s="7"/>
      <c r="Q85" s="7"/>
      <c r="R85" s="42"/>
      <c r="S85" s="7"/>
      <c r="T85" s="7"/>
      <c r="U85" s="7"/>
      <c r="V85" s="7">
        <v>150</v>
      </c>
      <c r="W85" s="7">
        <f t="shared" si="9"/>
        <v>6855.5</v>
      </c>
    </row>
    <row r="86" spans="1:23" ht="14.25" customHeight="1">
      <c r="A86" s="25"/>
      <c r="B86" s="25"/>
      <c r="C86" s="14"/>
      <c r="D86" s="25"/>
      <c r="E86" s="25"/>
      <c r="F86" s="28"/>
      <c r="G86" s="7" t="s">
        <v>103</v>
      </c>
      <c r="H86" s="7" t="s">
        <v>99</v>
      </c>
      <c r="I86" s="7"/>
      <c r="J86" s="7">
        <v>30.093098000000001</v>
      </c>
      <c r="K86" s="7">
        <v>77.221418</v>
      </c>
      <c r="L86" s="7" t="s">
        <v>116</v>
      </c>
      <c r="M86" s="7" t="s">
        <v>110</v>
      </c>
      <c r="N86" s="7"/>
      <c r="O86" s="7"/>
      <c r="P86" s="7"/>
      <c r="Q86" s="7"/>
      <c r="R86" s="42"/>
      <c r="S86" s="7"/>
      <c r="T86" s="7"/>
      <c r="U86" s="7"/>
      <c r="V86" s="7">
        <v>150</v>
      </c>
      <c r="W86" s="7">
        <f t="shared" si="9"/>
        <v>7005.5</v>
      </c>
    </row>
    <row r="87" spans="1:23" ht="14.25" customHeight="1">
      <c r="A87" s="25"/>
      <c r="B87" s="25"/>
      <c r="C87" s="14"/>
      <c r="D87" s="25"/>
      <c r="E87" s="25"/>
      <c r="F87" s="28"/>
      <c r="G87" s="7" t="s">
        <v>103</v>
      </c>
      <c r="H87" s="7" t="s">
        <v>99</v>
      </c>
      <c r="I87" s="7"/>
      <c r="J87" s="7">
        <v>30.092972</v>
      </c>
      <c r="K87" s="7">
        <v>77.221355000000003</v>
      </c>
      <c r="L87" s="7" t="s">
        <v>117</v>
      </c>
      <c r="M87" s="7" t="s">
        <v>110</v>
      </c>
      <c r="N87" s="7"/>
      <c r="O87" s="7"/>
      <c r="P87" s="7"/>
      <c r="Q87" s="7"/>
      <c r="R87" s="42"/>
      <c r="S87" s="7"/>
      <c r="T87" s="7">
        <v>11</v>
      </c>
      <c r="U87" s="7">
        <v>12</v>
      </c>
      <c r="V87" s="7">
        <f t="shared" ref="V87:V89" si="11">+T87*U87</f>
        <v>132</v>
      </c>
      <c r="W87" s="7">
        <f t="shared" si="9"/>
        <v>7137.5</v>
      </c>
    </row>
    <row r="88" spans="1:23" ht="14.25" customHeight="1">
      <c r="A88" s="25"/>
      <c r="B88" s="25"/>
      <c r="C88" s="14"/>
      <c r="D88" s="25"/>
      <c r="E88" s="25"/>
      <c r="F88" s="28"/>
      <c r="G88" s="7" t="s">
        <v>103</v>
      </c>
      <c r="H88" s="7" t="s">
        <v>99</v>
      </c>
      <c r="I88" s="7"/>
      <c r="J88" s="7">
        <v>30.093166</v>
      </c>
      <c r="K88" s="7">
        <v>77.221602000000004</v>
      </c>
      <c r="L88" s="7" t="s">
        <v>118</v>
      </c>
      <c r="M88" s="7" t="s">
        <v>110</v>
      </c>
      <c r="N88" s="7"/>
      <c r="O88" s="7"/>
      <c r="P88" s="7"/>
      <c r="Q88" s="7"/>
      <c r="R88" s="42"/>
      <c r="S88" s="7"/>
      <c r="T88" s="7">
        <v>30</v>
      </c>
      <c r="U88" s="7">
        <v>13</v>
      </c>
      <c r="V88" s="7">
        <f t="shared" si="11"/>
        <v>390</v>
      </c>
      <c r="W88" s="7">
        <f t="shared" si="9"/>
        <v>7527.5</v>
      </c>
    </row>
    <row r="89" spans="1:23" ht="14.25" customHeight="1">
      <c r="A89" s="25"/>
      <c r="B89" s="25"/>
      <c r="C89" s="14"/>
      <c r="D89" s="25"/>
      <c r="E89" s="25"/>
      <c r="F89" s="29"/>
      <c r="G89" s="7" t="s">
        <v>103</v>
      </c>
      <c r="H89" s="7" t="s">
        <v>99</v>
      </c>
      <c r="I89" s="7"/>
      <c r="J89" s="7">
        <v>30.093266</v>
      </c>
      <c r="K89" s="7">
        <v>77.221485000000001</v>
      </c>
      <c r="L89" s="7" t="s">
        <v>119</v>
      </c>
      <c r="M89" s="7" t="s">
        <v>110</v>
      </c>
      <c r="N89" s="7"/>
      <c r="O89" s="7"/>
      <c r="P89" s="7"/>
      <c r="Q89" s="7"/>
      <c r="R89" s="43"/>
      <c r="S89" s="7"/>
      <c r="T89" s="7">
        <v>13</v>
      </c>
      <c r="U89" s="7">
        <v>12</v>
      </c>
      <c r="V89" s="7">
        <f t="shared" si="11"/>
        <v>156</v>
      </c>
      <c r="W89" s="13">
        <f t="shared" si="9"/>
        <v>7683.5</v>
      </c>
    </row>
    <row r="90" spans="1:23" ht="14.25" customHeight="1">
      <c r="A90" s="34"/>
      <c r="B90" s="35"/>
      <c r="C90" s="35"/>
      <c r="D90" s="35"/>
      <c r="E90" s="35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7"/>
    </row>
    <row r="91" spans="1:23" ht="14.25" customHeight="1">
      <c r="A91" s="3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40"/>
    </row>
    <row r="92" spans="1:23" ht="21">
      <c r="A92" s="20" t="s">
        <v>126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2"/>
      <c r="S92" s="19">
        <f>+S69+S53+S44+S34+S22+S16+S2</f>
        <v>29000</v>
      </c>
      <c r="T92" s="23"/>
      <c r="U92" s="24"/>
      <c r="V92" s="19">
        <f>SUM(V2:V91)</f>
        <v>32336</v>
      </c>
      <c r="W92" s="19">
        <f>+W89+W67+W51+W42+W32+W20+W14</f>
        <v>32336</v>
      </c>
    </row>
    <row r="93" spans="1:23" ht="14.25" customHeight="1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>
      <c r="A112" s="2"/>
      <c r="B112" s="3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>
      <c r="A113" s="2"/>
      <c r="B113" s="3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>
      <c r="A114" s="2"/>
      <c r="B114" s="3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>
      <c r="A115" s="2"/>
      <c r="B115" s="3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>
      <c r="A116" s="2"/>
      <c r="B116" s="3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>
      <c r="A122" s="2"/>
      <c r="B122" s="3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>
      <c r="A123" s="2"/>
      <c r="B123" s="3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>
      <c r="A124" s="2"/>
      <c r="B124" s="3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>
      <c r="A125" s="2"/>
      <c r="B125" s="3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>
      <c r="A126" s="2"/>
      <c r="B126" s="3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>
      <c r="A127" s="2"/>
      <c r="B127" s="3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>
      <c r="A128" s="2"/>
      <c r="B128" s="3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>
      <c r="A129" s="2"/>
      <c r="B129" s="3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>
      <c r="A130" s="2"/>
      <c r="B130" s="3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>
      <c r="A131" s="2"/>
      <c r="B131" s="3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>
      <c r="A132" s="2"/>
      <c r="B132" s="3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>
      <c r="A133" s="2"/>
      <c r="B133" s="3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>
      <c r="A134" s="2"/>
      <c r="B134" s="3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>
      <c r="A135" s="2"/>
      <c r="B135" s="3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>
      <c r="A136" s="2"/>
      <c r="B136" s="3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>
      <c r="A137" s="2"/>
      <c r="B137" s="3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>
      <c r="A138" s="2"/>
      <c r="B138" s="3"/>
      <c r="C138" s="2"/>
      <c r="D138" s="2"/>
      <c r="E138" s="2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>
      <c r="A139" s="2"/>
      <c r="B139" s="3"/>
      <c r="C139" s="2"/>
      <c r="D139" s="2"/>
      <c r="E139" s="2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>
      <c r="A140" s="2"/>
      <c r="B140" s="3"/>
      <c r="C140" s="2"/>
      <c r="D140" s="2"/>
      <c r="E140" s="2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>
      <c r="A141" s="2"/>
      <c r="B141" s="3"/>
      <c r="C141" s="2"/>
      <c r="D141" s="2"/>
      <c r="E141" s="2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>
      <c r="A142" s="2"/>
      <c r="B142" s="3"/>
      <c r="C142" s="2"/>
      <c r="D142" s="2"/>
      <c r="E142" s="2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>
      <c r="A143" s="2"/>
      <c r="B143" s="3"/>
      <c r="C143" s="2"/>
      <c r="D143" s="2"/>
      <c r="E143" s="2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>
      <c r="A144" s="2"/>
      <c r="B144" s="3"/>
      <c r="C144" s="2"/>
      <c r="D144" s="2"/>
      <c r="E144" s="2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>
      <c r="A145" s="2"/>
      <c r="B145" s="3"/>
      <c r="C145" s="2"/>
      <c r="D145" s="2"/>
      <c r="E145" s="2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>
      <c r="A146" s="2"/>
      <c r="B146" s="3"/>
      <c r="C146" s="2"/>
      <c r="D146" s="2"/>
      <c r="E146" s="2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>
      <c r="A147" s="2"/>
      <c r="B147" s="3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>
      <c r="A148" s="2"/>
      <c r="B148" s="3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>
      <c r="A149" s="2"/>
      <c r="B149" s="3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>
      <c r="A150" s="2"/>
      <c r="B150" s="3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>
      <c r="A151" s="2"/>
      <c r="B151" s="3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>
      <c r="A152" s="2"/>
      <c r="B152" s="3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>
      <c r="A153" s="2"/>
      <c r="B153" s="3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>
      <c r="A154" s="2"/>
      <c r="B154" s="3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>
      <c r="A155" s="2"/>
      <c r="B155" s="3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>
      <c r="A156" s="2"/>
      <c r="B156" s="3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/>
    <row r="172" spans="1:23" ht="14.25" customHeight="1">
      <c r="S172" s="1"/>
      <c r="T172" s="1"/>
      <c r="U172" s="1"/>
      <c r="V172" s="1"/>
      <c r="W172" s="1"/>
    </row>
  </sheetData>
  <mergeCells count="51">
    <mergeCell ref="A16:A20"/>
    <mergeCell ref="R16:R20"/>
    <mergeCell ref="B2:B14"/>
    <mergeCell ref="D2:D14"/>
    <mergeCell ref="E2:E14"/>
    <mergeCell ref="F2:F14"/>
    <mergeCell ref="A2:A14"/>
    <mergeCell ref="C2:C14"/>
    <mergeCell ref="R2:R14"/>
    <mergeCell ref="B16:B20"/>
    <mergeCell ref="D16:D20"/>
    <mergeCell ref="E16:E20"/>
    <mergeCell ref="F16:F20"/>
    <mergeCell ref="A21:W21"/>
    <mergeCell ref="A43:W43"/>
    <mergeCell ref="A33:W33"/>
    <mergeCell ref="A52:W52"/>
    <mergeCell ref="A68:W68"/>
    <mergeCell ref="R22:R32"/>
    <mergeCell ref="R34:R42"/>
    <mergeCell ref="R44:R51"/>
    <mergeCell ref="R53:R67"/>
    <mergeCell ref="R69:R89"/>
    <mergeCell ref="A22:A32"/>
    <mergeCell ref="B22:B32"/>
    <mergeCell ref="D22:D32"/>
    <mergeCell ref="E22:E32"/>
    <mergeCell ref="F22:F32"/>
    <mergeCell ref="D34:D42"/>
    <mergeCell ref="E34:E42"/>
    <mergeCell ref="F34:F42"/>
    <mergeCell ref="A44:A51"/>
    <mergeCell ref="B44:B51"/>
    <mergeCell ref="D44:D51"/>
    <mergeCell ref="E44:E51"/>
    <mergeCell ref="F44:F51"/>
    <mergeCell ref="A34:A42"/>
    <mergeCell ref="B34:B42"/>
    <mergeCell ref="A53:A67"/>
    <mergeCell ref="B53:B67"/>
    <mergeCell ref="D53:D67"/>
    <mergeCell ref="E53:E67"/>
    <mergeCell ref="F53:F67"/>
    <mergeCell ref="A92:R92"/>
    <mergeCell ref="T92:U92"/>
    <mergeCell ref="A69:A89"/>
    <mergeCell ref="B69:B89"/>
    <mergeCell ref="D69:D89"/>
    <mergeCell ref="F69:F89"/>
    <mergeCell ref="E69:E89"/>
    <mergeCell ref="A90:W9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kapil goyal</cp:lastModifiedBy>
  <dcterms:created xsi:type="dcterms:W3CDTF">2024-10-22T07:38:23Z</dcterms:created>
  <dcterms:modified xsi:type="dcterms:W3CDTF">2025-06-21T10:37:25Z</dcterms:modified>
</cp:coreProperties>
</file>