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/>
  <mc:AlternateContent xmlns:mc="http://schemas.openxmlformats.org/markup-compatibility/2006">
    <mc:Choice Requires="x15">
      <x15ac:absPath xmlns:x15ac="http://schemas.microsoft.com/office/spreadsheetml/2010/11/ac" url="D:\PLusmedia GST\Session 2025-26\Tax Invoice\12-March 2026\JSW One Tmt\"/>
    </mc:Choice>
  </mc:AlternateContent>
  <xr:revisionPtr revIDLastSave="0" documentId="8_{306178F0-C378-48DF-AF66-65E0ECF30866}" xr6:coauthVersionLast="47" xr6:coauthVersionMax="47" xr10:uidLastSave="{00000000-0000-0000-0000-000000000000}"/>
  <bookViews>
    <workbookView xWindow="0" yWindow="0" windowWidth="20496" windowHeight="781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1" l="1"/>
  <c r="D40" i="1"/>
  <c r="D32" i="1"/>
  <c r="D46" i="1" l="1"/>
  <c r="D43" i="1"/>
  <c r="D35" i="1"/>
  <c r="D27" i="1"/>
  <c r="D13" i="1"/>
  <c r="D7" i="1"/>
  <c r="D24" i="1" l="1"/>
  <c r="D16" i="1"/>
  <c r="D10" i="1"/>
  <c r="D60" i="1" l="1"/>
</calcChain>
</file>

<file path=xl/sharedStrings.xml><?xml version="1.0" encoding="utf-8"?>
<sst xmlns="http://schemas.openxmlformats.org/spreadsheetml/2006/main" count="99" uniqueCount="77">
  <si>
    <t>Baikunthpur Road Bagaha Mathiya - Deoria</t>
  </si>
  <si>
    <t>JSW One Tmt</t>
  </si>
  <si>
    <t xml:space="preserve">Aligarh </t>
  </si>
  <si>
    <t>01.March.2026</t>
  </si>
  <si>
    <t>Wall No.</t>
  </si>
  <si>
    <t xml:space="preserve">Dealer Name </t>
  </si>
  <si>
    <t>Wall Address</t>
  </si>
  <si>
    <t>Painting S/f</t>
  </si>
  <si>
    <t>S/F</t>
  </si>
  <si>
    <t>GSB Size</t>
  </si>
  <si>
    <t>S/f</t>
  </si>
  <si>
    <t xml:space="preserve">M/s Laxmi Steel </t>
  </si>
  <si>
    <t xml:space="preserve">M/s Sai Goyal Trading Company </t>
  </si>
  <si>
    <t xml:space="preserve">M/s Shree Bala Ji Trading Company </t>
  </si>
  <si>
    <t xml:space="preserve">Total S/f </t>
  </si>
  <si>
    <t xml:space="preserve">Amroha </t>
  </si>
  <si>
    <t xml:space="preserve">M/s Jain  Steel House </t>
  </si>
  <si>
    <t xml:space="preserve">Etawah </t>
  </si>
  <si>
    <t xml:space="preserve">M/s Raj Narayan Salse Corporation </t>
  </si>
  <si>
    <t xml:space="preserve">Tundla </t>
  </si>
  <si>
    <t xml:space="preserve">M/s Sandeep &amp; Company </t>
  </si>
  <si>
    <t xml:space="preserve">Noida / Ghaziabad </t>
  </si>
  <si>
    <t xml:space="preserve">M/s Bansal Steel Shop </t>
  </si>
  <si>
    <t xml:space="preserve">Noida </t>
  </si>
  <si>
    <t xml:space="preserve">M/s Shashi Steel Corporation </t>
  </si>
  <si>
    <t xml:space="preserve">Industrial Area Loha Mandi - Ghaziabad </t>
  </si>
  <si>
    <t xml:space="preserve">M/s Core Commerce </t>
  </si>
  <si>
    <t xml:space="preserve">M/s Pratham Steel </t>
  </si>
  <si>
    <t xml:space="preserve">Industrial Area Buland Sahar Rd - Ghaziabad </t>
  </si>
  <si>
    <t xml:space="preserve">M/s Surya Steel </t>
  </si>
  <si>
    <t xml:space="preserve">M/s Optrix </t>
  </si>
  <si>
    <t xml:space="preserve">Ghaziabad </t>
  </si>
  <si>
    <t xml:space="preserve">Kanpur </t>
  </si>
  <si>
    <t xml:space="preserve">M/s Nisha Steel </t>
  </si>
  <si>
    <t xml:space="preserve">Naubasta - Kanpur </t>
  </si>
  <si>
    <t>Lucknow</t>
  </si>
  <si>
    <t>M/s Shiva Steel</t>
  </si>
  <si>
    <t xml:space="preserve">Chinhat - Lucknow </t>
  </si>
  <si>
    <t xml:space="preserve">M/s Tara Chand Steel </t>
  </si>
  <si>
    <t xml:space="preserve">Aliganj - Lucknow </t>
  </si>
  <si>
    <t>M/s Ankit Buildtech Construction Pvt.Ltd</t>
  </si>
  <si>
    <t xml:space="preserve">Gomti Nagar - Lucknow </t>
  </si>
  <si>
    <t xml:space="preserve">Mathura </t>
  </si>
  <si>
    <t xml:space="preserve">M/s Jai Durga Iron &amp; Steel Company </t>
  </si>
  <si>
    <t xml:space="preserve">Ballia </t>
  </si>
  <si>
    <t xml:space="preserve">M/s Gayatri Traders </t>
  </si>
  <si>
    <t xml:space="preserve">Maniyar - Ballia </t>
  </si>
  <si>
    <t xml:space="preserve">M/s Arihant Traders </t>
  </si>
  <si>
    <t xml:space="preserve">Bansdih - Ballia </t>
  </si>
  <si>
    <t xml:space="preserve">M/s Shree Ganpati Traders </t>
  </si>
  <si>
    <t xml:space="preserve">Chilkahar - Ballia </t>
  </si>
  <si>
    <t xml:space="preserve">Prayagraj </t>
  </si>
  <si>
    <t>M/s Allahabad Iron &amp; Steel Co.</t>
  </si>
  <si>
    <t xml:space="preserve">Naini - Prayagraj </t>
  </si>
  <si>
    <t xml:space="preserve">Sultanpur </t>
  </si>
  <si>
    <t xml:space="preserve">M/s Raju Traders </t>
  </si>
  <si>
    <t xml:space="preserve">Prayagraj Rd - Sultanpur </t>
  </si>
  <si>
    <t>Bhind,Morena,Gwalior(MP)</t>
  </si>
  <si>
    <t xml:space="preserve">M/s Agrawal Iron </t>
  </si>
  <si>
    <t xml:space="preserve">Morar - Gwalior </t>
  </si>
  <si>
    <t>M/s Pathak Enterprises</t>
  </si>
  <si>
    <t xml:space="preserve">Bhind - Gwalior </t>
  </si>
  <si>
    <t>M/s Veeru Fabrication &amp; Building Material</t>
  </si>
  <si>
    <t xml:space="preserve">M/s Pulak Steel </t>
  </si>
  <si>
    <t>M/s Anjali Trading Co.</t>
  </si>
  <si>
    <t xml:space="preserve">Nainagarh Rd - Morena </t>
  </si>
  <si>
    <t xml:space="preserve">M/s Kushwaha Traders </t>
  </si>
  <si>
    <t xml:space="preserve">Chitora Rd ,Hasanpur - Gwalior </t>
  </si>
  <si>
    <t>M/s Salika Enterprises</t>
  </si>
  <si>
    <t xml:space="preserve">Deen Dayal Nagar - Gwalior </t>
  </si>
  <si>
    <t xml:space="preserve">M/s Vinay Steels </t>
  </si>
  <si>
    <t xml:space="preserve">Anand Nagar Chauraha Bahodapur - Gwalior </t>
  </si>
  <si>
    <t xml:space="preserve">M/s Shree Siddhi Traders </t>
  </si>
  <si>
    <t xml:space="preserve">Gwalior </t>
  </si>
  <si>
    <t>M/s Munna Enterprises</t>
  </si>
  <si>
    <t xml:space="preserve">Tilak Nagar ,Bhind </t>
  </si>
  <si>
    <t xml:space="preserve">Total Painting S/f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</si>
</sst>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44">
    <xf numFmtId="0" fontId="0" fillId="0" borderId="0" xfId="0"/>
    <xf numFmtId="0" fontId="1" fillId="2" borderId="0" xfId="1" applyFill="1"/>
    <xf numFmtId="0" fontId="4" fillId="3" borderId="0" xfId="1" applyFon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3" borderId="0" xfId="0" applyFont="1" applyFill="1"/>
    <xf numFmtId="0" fontId="6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2" xfId="0" applyFont="1" applyFill="1" applyBorder="1"/>
    <xf numFmtId="0" fontId="8" fillId="4" borderId="2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/>
    <xf numFmtId="0" fontId="6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right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/>
    <xf numFmtId="0" fontId="6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0" xfId="1" applyFont="1" applyBorder="1" applyAlignment="1">
      <alignment horizontal="center"/>
    </xf>
  </cellXfs>
  <cellStyles count="2"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1"/>
  <sheetViews>
    <sheetView tabSelected="1" workbookViewId="0"/>
  </sheetViews>
  <sheetFormatPr defaultColWidth="9" defaultRowHeight="14.45"/>
  <cols>
    <col min="1" max="1" width="7.125" customWidth="1"/>
    <col min="2" max="2" width="40" customWidth="1"/>
    <col min="3" max="3" width="61.25" customWidth="1"/>
    <col min="4" max="4" width="11.625" customWidth="1"/>
    <col min="5" max="5" width="9.375" customWidth="1"/>
    <col min="6" max="6" width="7.625" customWidth="1"/>
    <col min="7" max="7" width="6.875" customWidth="1"/>
    <col min="8" max="8" width="4.5" customWidth="1"/>
    <col min="9" max="9" width="3.25" customWidth="1"/>
  </cols>
  <sheetData>
    <row r="1" spans="1:9" ht="15" customHeight="1">
      <c r="A1" s="1" t="s">
        <v>0</v>
      </c>
      <c r="B1" s="18"/>
      <c r="C1" s="40" t="s">
        <v>1</v>
      </c>
      <c r="D1" s="41"/>
    </row>
    <row r="2" spans="1:9" ht="23.25" customHeight="1">
      <c r="A2" s="7"/>
      <c r="B2" s="2" t="s">
        <v>2</v>
      </c>
      <c r="C2" s="42"/>
      <c r="D2" s="42"/>
      <c r="E2" s="43" t="s">
        <v>3</v>
      </c>
      <c r="F2" s="43"/>
      <c r="G2" s="43"/>
      <c r="H2" s="43"/>
      <c r="I2" s="43"/>
    </row>
    <row r="3" spans="1:9">
      <c r="A3" s="3" t="s">
        <v>4</v>
      </c>
      <c r="B3" s="3" t="s">
        <v>5</v>
      </c>
      <c r="C3" s="4" t="s">
        <v>6</v>
      </c>
      <c r="D3" s="4" t="s">
        <v>7</v>
      </c>
      <c r="E3" s="5" t="s">
        <v>8</v>
      </c>
      <c r="F3" s="5" t="s">
        <v>9</v>
      </c>
      <c r="G3" s="5" t="s">
        <v>10</v>
      </c>
      <c r="H3" s="4"/>
      <c r="I3" s="4"/>
    </row>
    <row r="4" spans="1:9" ht="15.6">
      <c r="A4" s="6">
        <v>1</v>
      </c>
      <c r="B4" s="8" t="s">
        <v>11</v>
      </c>
      <c r="C4" s="9" t="s">
        <v>2</v>
      </c>
      <c r="D4" s="9">
        <v>1863</v>
      </c>
      <c r="E4" s="17"/>
      <c r="F4" s="17"/>
      <c r="G4" s="17"/>
      <c r="H4" s="4"/>
      <c r="I4" s="4"/>
    </row>
    <row r="5" spans="1:9" ht="15.6">
      <c r="A5" s="23">
        <v>2</v>
      </c>
      <c r="B5" s="24" t="s">
        <v>12</v>
      </c>
      <c r="C5" s="33" t="s">
        <v>2</v>
      </c>
      <c r="D5" s="9">
        <v>2874</v>
      </c>
      <c r="E5" s="6"/>
      <c r="F5" s="17"/>
      <c r="G5" s="17"/>
      <c r="H5" s="4"/>
      <c r="I5" s="4"/>
    </row>
    <row r="6" spans="1:9" ht="15.6">
      <c r="A6" s="6">
        <v>3</v>
      </c>
      <c r="B6" s="8" t="s">
        <v>13</v>
      </c>
      <c r="C6" s="9" t="s">
        <v>2</v>
      </c>
      <c r="D6" s="9">
        <v>1695</v>
      </c>
      <c r="E6" s="17"/>
      <c r="F6" s="17"/>
      <c r="G6" s="17"/>
      <c r="H6" s="4"/>
      <c r="I6" s="4"/>
    </row>
    <row r="7" spans="1:9" ht="15.6">
      <c r="A7" s="6"/>
      <c r="B7" s="8"/>
      <c r="C7" s="34" t="s">
        <v>14</v>
      </c>
      <c r="D7" s="28">
        <f>SUM(D4:D6)</f>
        <v>6432</v>
      </c>
      <c r="E7" s="17"/>
      <c r="F7" s="17"/>
      <c r="G7" s="17"/>
      <c r="H7" s="4"/>
      <c r="I7" s="4"/>
    </row>
    <row r="8" spans="1:9" ht="15.6">
      <c r="A8" s="6"/>
      <c r="B8" s="28" t="s">
        <v>15</v>
      </c>
      <c r="C8" s="35"/>
      <c r="D8" s="9"/>
      <c r="E8" s="17"/>
      <c r="F8" s="17"/>
      <c r="G8" s="17"/>
      <c r="H8" s="4"/>
      <c r="I8" s="4"/>
    </row>
    <row r="9" spans="1:9" ht="15.6">
      <c r="A9" s="6">
        <v>4</v>
      </c>
      <c r="B9" s="8" t="s">
        <v>16</v>
      </c>
      <c r="C9" s="35" t="s">
        <v>15</v>
      </c>
      <c r="D9" s="9">
        <v>2159</v>
      </c>
      <c r="E9" s="17"/>
      <c r="F9" s="17"/>
      <c r="G9" s="17"/>
      <c r="H9" s="4"/>
      <c r="I9" s="4"/>
    </row>
    <row r="10" spans="1:9" ht="15.6">
      <c r="A10" s="20"/>
      <c r="B10" s="21"/>
      <c r="C10" s="34" t="s">
        <v>14</v>
      </c>
      <c r="D10" s="28">
        <f>SUM(D9:D9)</f>
        <v>2159</v>
      </c>
      <c r="E10" s="17"/>
      <c r="F10" s="17"/>
      <c r="G10" s="17"/>
      <c r="H10" s="4"/>
      <c r="I10" s="4"/>
    </row>
    <row r="11" spans="1:9" ht="15.6">
      <c r="A11" s="20"/>
      <c r="B11" s="29" t="s">
        <v>17</v>
      </c>
      <c r="C11" s="33"/>
      <c r="D11" s="9"/>
      <c r="E11" s="17"/>
      <c r="F11" s="17"/>
      <c r="G11" s="17"/>
      <c r="H11" s="4"/>
      <c r="I11" s="4"/>
    </row>
    <row r="12" spans="1:9" ht="15.6">
      <c r="A12" s="20">
        <v>5</v>
      </c>
      <c r="B12" s="21" t="s">
        <v>18</v>
      </c>
      <c r="C12" s="36" t="s">
        <v>17</v>
      </c>
      <c r="D12" s="9">
        <v>2311</v>
      </c>
      <c r="E12" s="17"/>
      <c r="F12" s="17"/>
      <c r="G12" s="17"/>
      <c r="H12" s="4"/>
      <c r="I12" s="4"/>
    </row>
    <row r="13" spans="1:9" ht="15.6">
      <c r="A13" s="22"/>
      <c r="B13" s="21"/>
      <c r="C13" s="34" t="s">
        <v>14</v>
      </c>
      <c r="D13" s="28">
        <f>SUM(D12:D12)</f>
        <v>2311</v>
      </c>
      <c r="E13" s="17"/>
      <c r="F13" s="17"/>
      <c r="G13" s="17"/>
      <c r="H13" s="4"/>
      <c r="I13" s="4"/>
    </row>
    <row r="14" spans="1:9" ht="15.6">
      <c r="A14" s="22"/>
      <c r="B14" s="29" t="s">
        <v>19</v>
      </c>
      <c r="C14" s="34"/>
      <c r="D14" s="28"/>
      <c r="E14" s="17"/>
      <c r="F14" s="17"/>
      <c r="G14" s="17"/>
      <c r="H14" s="4"/>
      <c r="I14" s="4"/>
    </row>
    <row r="15" spans="1:9" ht="15.6">
      <c r="A15" s="6">
        <v>6</v>
      </c>
      <c r="B15" s="8" t="s">
        <v>20</v>
      </c>
      <c r="C15" s="9" t="s">
        <v>19</v>
      </c>
      <c r="D15" s="9">
        <v>370</v>
      </c>
      <c r="E15" s="17"/>
      <c r="F15" s="17"/>
      <c r="G15" s="17"/>
      <c r="H15" s="4"/>
      <c r="I15" s="4"/>
    </row>
    <row r="16" spans="1:9" ht="15.6">
      <c r="A16" s="6"/>
      <c r="B16" s="8"/>
      <c r="C16" s="34" t="s">
        <v>14</v>
      </c>
      <c r="D16" s="28">
        <f>SUM(D15:D15)</f>
        <v>370</v>
      </c>
      <c r="E16" s="17"/>
      <c r="F16" s="17"/>
      <c r="G16" s="17"/>
      <c r="H16" s="4"/>
      <c r="I16" s="4"/>
    </row>
    <row r="17" spans="1:9" ht="15.6">
      <c r="A17" s="6"/>
      <c r="B17" s="28" t="s">
        <v>21</v>
      </c>
      <c r="C17" s="9"/>
      <c r="D17" s="9"/>
      <c r="E17" s="17"/>
      <c r="F17" s="17"/>
      <c r="G17" s="17"/>
      <c r="H17" s="4"/>
      <c r="I17" s="4"/>
    </row>
    <row r="18" spans="1:9" ht="15.6">
      <c r="A18" s="6">
        <v>7</v>
      </c>
      <c r="B18" s="8" t="s">
        <v>22</v>
      </c>
      <c r="C18" s="9" t="s">
        <v>23</v>
      </c>
      <c r="D18" s="9">
        <v>2239</v>
      </c>
      <c r="E18" s="17"/>
      <c r="F18" s="17"/>
      <c r="G18" s="17"/>
      <c r="H18" s="4"/>
      <c r="I18" s="4"/>
    </row>
    <row r="19" spans="1:9" ht="15.6">
      <c r="A19" s="6">
        <v>8</v>
      </c>
      <c r="B19" s="8" t="s">
        <v>24</v>
      </c>
      <c r="C19" s="9" t="s">
        <v>25</v>
      </c>
      <c r="D19" s="9">
        <v>2542</v>
      </c>
      <c r="E19" s="17"/>
      <c r="F19" s="17"/>
      <c r="G19" s="17"/>
      <c r="H19" s="4"/>
      <c r="I19" s="4"/>
    </row>
    <row r="20" spans="1:9" ht="15.6">
      <c r="A20" s="6">
        <v>9</v>
      </c>
      <c r="B20" s="8" t="s">
        <v>26</v>
      </c>
      <c r="C20" s="9" t="s">
        <v>25</v>
      </c>
      <c r="D20" s="9">
        <v>1080</v>
      </c>
      <c r="E20" s="17"/>
      <c r="F20" s="17"/>
      <c r="G20" s="17"/>
      <c r="H20" s="4"/>
      <c r="I20" s="4"/>
    </row>
    <row r="21" spans="1:9" ht="15.6">
      <c r="A21" s="6">
        <v>10</v>
      </c>
      <c r="B21" s="8" t="s">
        <v>27</v>
      </c>
      <c r="C21" s="9" t="s">
        <v>28</v>
      </c>
      <c r="D21" s="9">
        <v>2945</v>
      </c>
      <c r="E21" s="17"/>
      <c r="F21" s="17"/>
      <c r="G21" s="17"/>
      <c r="H21" s="4"/>
      <c r="I21" s="4"/>
    </row>
    <row r="22" spans="1:9" ht="15.6">
      <c r="A22" s="6">
        <v>11</v>
      </c>
      <c r="B22" s="8" t="s">
        <v>29</v>
      </c>
      <c r="C22" s="9" t="s">
        <v>28</v>
      </c>
      <c r="D22" s="9">
        <v>2122</v>
      </c>
      <c r="E22" s="17"/>
      <c r="F22" s="17"/>
      <c r="G22" s="17"/>
      <c r="H22" s="4"/>
      <c r="I22" s="4"/>
    </row>
    <row r="23" spans="1:9" ht="15.6">
      <c r="A23" s="6">
        <v>12</v>
      </c>
      <c r="B23" s="8" t="s">
        <v>30</v>
      </c>
      <c r="C23" s="9" t="s">
        <v>31</v>
      </c>
      <c r="D23" s="9">
        <v>10286</v>
      </c>
      <c r="E23" s="17"/>
      <c r="F23" s="17"/>
      <c r="G23" s="17"/>
      <c r="H23" s="4"/>
      <c r="I23" s="4"/>
    </row>
    <row r="24" spans="1:9" ht="15.6">
      <c r="A24" s="23"/>
      <c r="B24" s="25"/>
      <c r="C24" s="34" t="s">
        <v>14</v>
      </c>
      <c r="D24" s="28">
        <f>SUM(D18:D23)</f>
        <v>21214</v>
      </c>
      <c r="E24" s="17"/>
      <c r="F24" s="17"/>
      <c r="G24" s="17"/>
      <c r="H24" s="4"/>
      <c r="I24" s="4"/>
    </row>
    <row r="25" spans="1:9" ht="15.6">
      <c r="A25" s="23"/>
      <c r="B25" s="30" t="s">
        <v>32</v>
      </c>
      <c r="C25" s="33"/>
      <c r="D25" s="9"/>
      <c r="E25" s="17"/>
      <c r="F25" s="17"/>
      <c r="G25" s="17"/>
      <c r="H25" s="4"/>
      <c r="I25" s="4"/>
    </row>
    <row r="26" spans="1:9" ht="15.6">
      <c r="A26" s="23">
        <v>13</v>
      </c>
      <c r="B26" s="24" t="s">
        <v>33</v>
      </c>
      <c r="C26" s="33" t="s">
        <v>34</v>
      </c>
      <c r="D26" s="9">
        <v>1662</v>
      </c>
      <c r="E26" s="6"/>
      <c r="F26" s="6"/>
      <c r="G26" s="6"/>
      <c r="H26" s="4"/>
      <c r="I26" s="4"/>
    </row>
    <row r="27" spans="1:9" ht="15.6">
      <c r="A27" s="23"/>
      <c r="B27" s="24"/>
      <c r="C27" s="34" t="s">
        <v>14</v>
      </c>
      <c r="D27" s="28">
        <f>+D26</f>
        <v>1662</v>
      </c>
      <c r="E27" s="17"/>
      <c r="F27" s="17"/>
      <c r="G27" s="17"/>
      <c r="H27" s="4"/>
      <c r="I27" s="4"/>
    </row>
    <row r="28" spans="1:9" ht="15.6">
      <c r="A28" s="23"/>
      <c r="B28" s="30" t="s">
        <v>35</v>
      </c>
      <c r="C28" s="33"/>
      <c r="D28" s="9"/>
      <c r="E28" s="17"/>
      <c r="F28" s="17"/>
      <c r="G28" s="17"/>
      <c r="H28" s="4"/>
      <c r="I28" s="4"/>
    </row>
    <row r="29" spans="1:9" ht="15.6">
      <c r="A29" s="23">
        <v>14</v>
      </c>
      <c r="B29" s="24" t="s">
        <v>36</v>
      </c>
      <c r="C29" s="33" t="s">
        <v>37</v>
      </c>
      <c r="D29" s="9">
        <v>1385</v>
      </c>
      <c r="E29" s="17"/>
      <c r="F29" s="17"/>
      <c r="G29" s="17"/>
      <c r="H29" s="4"/>
      <c r="I29" s="4"/>
    </row>
    <row r="30" spans="1:9" ht="15.6">
      <c r="A30" s="23">
        <v>15</v>
      </c>
      <c r="B30" s="24" t="s">
        <v>38</v>
      </c>
      <c r="C30" s="37" t="s">
        <v>39</v>
      </c>
      <c r="D30" s="9">
        <v>1978.5</v>
      </c>
      <c r="E30" s="17"/>
      <c r="F30" s="17"/>
      <c r="G30" s="17"/>
      <c r="H30" s="4"/>
      <c r="I30" s="4"/>
    </row>
    <row r="31" spans="1:9" ht="15.6">
      <c r="A31" s="23">
        <v>16</v>
      </c>
      <c r="B31" s="24" t="s">
        <v>40</v>
      </c>
      <c r="C31" s="37" t="s">
        <v>41</v>
      </c>
      <c r="D31" s="9">
        <v>1976.5</v>
      </c>
      <c r="E31" s="17"/>
      <c r="F31" s="17"/>
      <c r="G31" s="17"/>
      <c r="H31" s="4"/>
      <c r="I31" s="4"/>
    </row>
    <row r="32" spans="1:9" ht="15.6">
      <c r="A32" s="23"/>
      <c r="B32" s="24"/>
      <c r="C32" s="34" t="s">
        <v>14</v>
      </c>
      <c r="D32" s="28">
        <f>SUM(D29:D31)</f>
        <v>5340</v>
      </c>
      <c r="E32" s="17"/>
      <c r="F32" s="17"/>
      <c r="G32" s="17"/>
      <c r="H32" s="4"/>
      <c r="I32" s="4"/>
    </row>
    <row r="33" spans="1:9" ht="15.6" customHeight="1">
      <c r="A33" s="23"/>
      <c r="B33" s="32" t="s">
        <v>42</v>
      </c>
      <c r="C33" s="33"/>
      <c r="D33" s="9"/>
      <c r="E33" s="17"/>
      <c r="F33" s="17"/>
      <c r="G33" s="17"/>
      <c r="H33" s="4"/>
      <c r="I33" s="4"/>
    </row>
    <row r="34" spans="1:9" ht="15.6">
      <c r="A34" s="23">
        <v>17</v>
      </c>
      <c r="B34" s="24" t="s">
        <v>43</v>
      </c>
      <c r="C34" s="33" t="s">
        <v>42</v>
      </c>
      <c r="D34" s="9">
        <v>1246</v>
      </c>
      <c r="E34" s="17"/>
      <c r="F34" s="17"/>
      <c r="G34" s="17"/>
      <c r="H34" s="4"/>
      <c r="I34" s="4"/>
    </row>
    <row r="35" spans="1:9" ht="15.6">
      <c r="A35" s="23"/>
      <c r="B35" s="24"/>
      <c r="C35" s="34" t="s">
        <v>14</v>
      </c>
      <c r="D35" s="28">
        <f>SUM(D34:D34)</f>
        <v>1246</v>
      </c>
      <c r="E35" s="17"/>
      <c r="F35" s="17"/>
      <c r="G35" s="17"/>
      <c r="H35" s="4"/>
      <c r="I35" s="4"/>
    </row>
    <row r="36" spans="1:9" ht="15.6">
      <c r="A36" s="23"/>
      <c r="B36" s="32" t="s">
        <v>44</v>
      </c>
      <c r="C36" s="33"/>
      <c r="D36" s="9"/>
      <c r="E36" s="17"/>
      <c r="F36" s="17"/>
      <c r="G36" s="17"/>
      <c r="H36" s="4"/>
      <c r="I36" s="4"/>
    </row>
    <row r="37" spans="1:9" ht="15.6">
      <c r="A37" s="23">
        <v>18</v>
      </c>
      <c r="B37" s="24" t="s">
        <v>45</v>
      </c>
      <c r="C37" s="33" t="s">
        <v>46</v>
      </c>
      <c r="D37" s="9">
        <v>2174</v>
      </c>
      <c r="E37" s="17"/>
      <c r="F37" s="17"/>
      <c r="G37" s="17"/>
      <c r="H37" s="4"/>
      <c r="I37" s="4"/>
    </row>
    <row r="38" spans="1:9" ht="15.6">
      <c r="A38" s="23">
        <v>19</v>
      </c>
      <c r="B38" s="24" t="s">
        <v>47</v>
      </c>
      <c r="C38" s="37" t="s">
        <v>48</v>
      </c>
      <c r="D38" s="9">
        <v>1983</v>
      </c>
      <c r="E38" s="17"/>
      <c r="F38" s="17"/>
      <c r="G38" s="17"/>
      <c r="H38" s="4"/>
      <c r="I38" s="4"/>
    </row>
    <row r="39" spans="1:9" ht="15.6">
      <c r="A39" s="23">
        <v>20</v>
      </c>
      <c r="B39" s="24" t="s">
        <v>49</v>
      </c>
      <c r="C39" s="37" t="s">
        <v>50</v>
      </c>
      <c r="D39" s="9">
        <v>2124</v>
      </c>
      <c r="E39" s="17"/>
      <c r="F39" s="17"/>
      <c r="G39" s="17"/>
      <c r="H39" s="4"/>
      <c r="I39" s="4"/>
    </row>
    <row r="40" spans="1:9" ht="15.6">
      <c r="A40" s="23"/>
      <c r="B40" s="24"/>
      <c r="C40" s="27" t="s">
        <v>14</v>
      </c>
      <c r="D40" s="26">
        <f>SUM(D37:D39)</f>
        <v>6281</v>
      </c>
      <c r="E40" s="17"/>
      <c r="F40" s="17"/>
      <c r="G40" s="17"/>
      <c r="H40" s="4"/>
      <c r="I40" s="4"/>
    </row>
    <row r="41" spans="1:9" ht="15.6">
      <c r="A41" s="23"/>
      <c r="B41" s="32" t="s">
        <v>51</v>
      </c>
      <c r="C41" s="23"/>
      <c r="D41" s="6"/>
      <c r="E41" s="17"/>
      <c r="F41" s="17"/>
      <c r="G41" s="17"/>
      <c r="H41" s="4"/>
      <c r="I41" s="4"/>
    </row>
    <row r="42" spans="1:9" ht="15.6">
      <c r="A42" s="23">
        <v>21</v>
      </c>
      <c r="B42" s="24" t="s">
        <v>52</v>
      </c>
      <c r="C42" s="23" t="s">
        <v>53</v>
      </c>
      <c r="D42" s="6">
        <v>1574</v>
      </c>
      <c r="E42" s="17"/>
      <c r="F42" s="17"/>
      <c r="G42" s="17"/>
      <c r="H42" s="4"/>
      <c r="I42" s="4"/>
    </row>
    <row r="43" spans="1:9" ht="15.6">
      <c r="A43" s="23"/>
      <c r="B43" s="24"/>
      <c r="C43" s="27" t="s">
        <v>14</v>
      </c>
      <c r="D43" s="26">
        <f>+D42</f>
        <v>1574</v>
      </c>
      <c r="E43" s="17"/>
      <c r="F43" s="17"/>
      <c r="G43" s="17"/>
      <c r="H43" s="4"/>
      <c r="I43" s="4"/>
    </row>
    <row r="44" spans="1:9" ht="15.6">
      <c r="A44" s="23"/>
      <c r="B44" s="32" t="s">
        <v>54</v>
      </c>
      <c r="C44" s="23"/>
      <c r="D44" s="6"/>
      <c r="E44" s="17"/>
      <c r="F44" s="17"/>
      <c r="G44" s="17"/>
      <c r="H44" s="4"/>
      <c r="I44" s="4"/>
    </row>
    <row r="45" spans="1:9" ht="15.6">
      <c r="A45" s="6">
        <v>22</v>
      </c>
      <c r="B45" s="8" t="s">
        <v>55</v>
      </c>
      <c r="C45" s="6" t="s">
        <v>56</v>
      </c>
      <c r="D45" s="6">
        <v>2883.25</v>
      </c>
      <c r="E45" s="17"/>
      <c r="F45" s="17"/>
      <c r="G45" s="17"/>
      <c r="H45" s="4"/>
      <c r="I45" s="4"/>
    </row>
    <row r="46" spans="1:9" ht="15.6">
      <c r="A46" s="6"/>
      <c r="B46" s="8"/>
      <c r="C46" s="27" t="s">
        <v>14</v>
      </c>
      <c r="D46" s="26">
        <f>SUM(D45:D45)</f>
        <v>2883.25</v>
      </c>
      <c r="E46" s="17"/>
      <c r="F46" s="17"/>
      <c r="G46" s="17"/>
      <c r="H46" s="4"/>
      <c r="I46" s="4"/>
    </row>
    <row r="47" spans="1:9" ht="15.6">
      <c r="A47" s="23"/>
      <c r="B47" s="32" t="s">
        <v>57</v>
      </c>
      <c r="C47" s="23"/>
      <c r="D47" s="6"/>
      <c r="E47" s="17"/>
      <c r="F47" s="17"/>
      <c r="G47" s="17"/>
      <c r="H47" s="4"/>
      <c r="I47" s="4"/>
    </row>
    <row r="48" spans="1:9" ht="15.6">
      <c r="A48" s="6">
        <v>23</v>
      </c>
      <c r="B48" s="8" t="s">
        <v>58</v>
      </c>
      <c r="C48" s="6" t="s">
        <v>59</v>
      </c>
      <c r="D48" s="6">
        <v>1252</v>
      </c>
      <c r="E48" s="17"/>
      <c r="F48" s="17"/>
      <c r="G48" s="17"/>
      <c r="H48" s="4"/>
      <c r="I48" s="4"/>
    </row>
    <row r="49" spans="1:9" ht="15.6">
      <c r="A49" s="17">
        <v>24</v>
      </c>
      <c r="B49" s="38" t="s">
        <v>60</v>
      </c>
      <c r="C49" s="39" t="s">
        <v>61</v>
      </c>
      <c r="D49" s="17">
        <v>912</v>
      </c>
      <c r="E49" s="17"/>
      <c r="F49" s="17"/>
      <c r="G49" s="17"/>
      <c r="H49" s="4"/>
      <c r="I49" s="4"/>
    </row>
    <row r="50" spans="1:9" ht="15.6">
      <c r="A50" s="17">
        <v>25</v>
      </c>
      <c r="B50" s="38" t="s">
        <v>62</v>
      </c>
      <c r="C50" s="39" t="s">
        <v>61</v>
      </c>
      <c r="D50" s="17">
        <v>1657.5</v>
      </c>
      <c r="E50" s="17"/>
      <c r="F50" s="17"/>
      <c r="G50" s="17"/>
      <c r="H50" s="4"/>
      <c r="I50" s="4"/>
    </row>
    <row r="51" spans="1:9" ht="15.6">
      <c r="A51" s="17">
        <v>26</v>
      </c>
      <c r="B51" s="38" t="s">
        <v>63</v>
      </c>
      <c r="C51" s="39" t="s">
        <v>59</v>
      </c>
      <c r="D51" s="17">
        <v>589</v>
      </c>
      <c r="E51" s="17"/>
      <c r="F51" s="17"/>
      <c r="G51" s="17"/>
      <c r="H51" s="4"/>
      <c r="I51" s="4"/>
    </row>
    <row r="52" spans="1:9" ht="15.6">
      <c r="A52" s="17">
        <v>27</v>
      </c>
      <c r="B52" s="38" t="s">
        <v>64</v>
      </c>
      <c r="C52" s="39" t="s">
        <v>65</v>
      </c>
      <c r="D52" s="17">
        <v>1601</v>
      </c>
      <c r="E52" s="17"/>
      <c r="F52" s="17"/>
      <c r="G52" s="17"/>
      <c r="H52" s="4"/>
      <c r="I52" s="4"/>
    </row>
    <row r="53" spans="1:9" ht="15.6">
      <c r="A53" s="17">
        <v>28</v>
      </c>
      <c r="B53" s="38" t="s">
        <v>66</v>
      </c>
      <c r="C53" s="39" t="s">
        <v>67</v>
      </c>
      <c r="D53" s="17">
        <v>1711</v>
      </c>
      <c r="E53" s="17"/>
      <c r="F53" s="17"/>
      <c r="G53" s="17"/>
      <c r="H53" s="4"/>
      <c r="I53" s="4"/>
    </row>
    <row r="54" spans="1:9" ht="15.6">
      <c r="A54" s="17">
        <v>29</v>
      </c>
      <c r="B54" s="38" t="s">
        <v>68</v>
      </c>
      <c r="C54" s="39" t="s">
        <v>69</v>
      </c>
      <c r="D54" s="17">
        <v>1440</v>
      </c>
      <c r="E54" s="17"/>
      <c r="F54" s="17"/>
      <c r="G54" s="17"/>
      <c r="H54" s="4"/>
      <c r="I54" s="4"/>
    </row>
    <row r="55" spans="1:9" ht="15.6">
      <c r="A55" s="17">
        <v>30</v>
      </c>
      <c r="B55" s="38" t="s">
        <v>70</v>
      </c>
      <c r="C55" s="39" t="s">
        <v>71</v>
      </c>
      <c r="D55" s="17">
        <v>1606.5</v>
      </c>
      <c r="E55" s="17"/>
      <c r="F55" s="17"/>
      <c r="G55" s="17"/>
      <c r="H55" s="4"/>
      <c r="I55" s="4"/>
    </row>
    <row r="56" spans="1:9" ht="15.6">
      <c r="A56" s="17">
        <v>31</v>
      </c>
      <c r="B56" s="38" t="s">
        <v>72</v>
      </c>
      <c r="C56" s="39" t="s">
        <v>73</v>
      </c>
      <c r="D56" s="17">
        <v>2280</v>
      </c>
      <c r="E56" s="17"/>
      <c r="F56" s="17"/>
      <c r="G56" s="17"/>
      <c r="H56" s="4"/>
      <c r="I56" s="4"/>
    </row>
    <row r="57" spans="1:9" ht="15.6">
      <c r="A57" s="17">
        <v>32</v>
      </c>
      <c r="B57" s="38" t="s">
        <v>74</v>
      </c>
      <c r="C57" s="39" t="s">
        <v>75</v>
      </c>
      <c r="D57" s="17">
        <v>2046</v>
      </c>
      <c r="E57" s="17"/>
      <c r="F57" s="17"/>
      <c r="G57" s="17"/>
      <c r="H57" s="4"/>
      <c r="I57" s="4"/>
    </row>
    <row r="58" spans="1:9" ht="15.6">
      <c r="A58" s="22"/>
      <c r="B58" s="21"/>
      <c r="C58" s="27" t="s">
        <v>14</v>
      </c>
      <c r="D58" s="31">
        <f>SUM(D48:D57)</f>
        <v>15095</v>
      </c>
      <c r="E58" s="17"/>
      <c r="F58" s="17"/>
      <c r="G58" s="17"/>
      <c r="H58" s="4"/>
      <c r="I58" s="4"/>
    </row>
    <row r="59" spans="1:9" ht="15.6">
      <c r="A59" s="6"/>
      <c r="B59" s="8"/>
      <c r="C59" s="6"/>
      <c r="D59" s="6"/>
      <c r="E59" s="9"/>
      <c r="F59" s="9"/>
      <c r="G59" s="6"/>
      <c r="H59" s="6"/>
      <c r="I59" s="6"/>
    </row>
    <row r="60" spans="1:9" ht="15.6">
      <c r="A60" s="10"/>
      <c r="B60" s="11"/>
      <c r="C60" s="12" t="s">
        <v>76</v>
      </c>
      <c r="D60" s="14">
        <f>SUM(D7,D10,D13,D16,D24,D27,D32,D35,D40,D43,D46,D58)</f>
        <v>66567.25</v>
      </c>
      <c r="E60" s="14"/>
      <c r="F60" s="13"/>
      <c r="G60" s="14"/>
      <c r="H60" s="10"/>
      <c r="I60" s="11"/>
    </row>
    <row r="61" spans="1:9" ht="15.6">
      <c r="A61" s="6"/>
      <c r="B61" s="16"/>
      <c r="C61" s="6"/>
      <c r="D61" s="6"/>
      <c r="E61" s="19"/>
      <c r="F61" s="19"/>
      <c r="G61" s="19"/>
      <c r="H61" s="19"/>
      <c r="I61" s="19"/>
    </row>
    <row r="62" spans="1:9" ht="15.6">
      <c r="A62" s="15"/>
    </row>
    <row r="63" spans="1:9" ht="15.6">
      <c r="A63" s="15"/>
    </row>
    <row r="64" spans="1:9" ht="15.6">
      <c r="A64" s="15"/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402" ht="1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6.5" customHeight="1"/>
    <row r="422" ht="15" customHeight="1"/>
    <row r="424" ht="15.75" customHeight="1"/>
    <row r="425" ht="15" customHeight="1"/>
    <row r="426" ht="15" customHeight="1"/>
    <row r="427" ht="15" customHeight="1"/>
    <row r="428" ht="15" customHeight="1"/>
    <row r="429" ht="14.25" customHeight="1"/>
    <row r="430" ht="14.25" customHeight="1"/>
    <row r="431" ht="15" customHeight="1"/>
    <row r="432" ht="14.25" customHeight="1"/>
    <row r="433" ht="15" customHeight="1"/>
    <row r="434" ht="15" customHeight="1"/>
    <row r="435" ht="15.75" customHeight="1"/>
    <row r="436" ht="15.75" customHeight="1"/>
    <row r="437" ht="15.75" customHeight="1"/>
    <row r="438" ht="15.75" customHeight="1"/>
    <row r="439" ht="16.5" customHeight="1"/>
    <row r="441" ht="15.75" customHeight="1"/>
  </sheetData>
  <mergeCells count="2">
    <mergeCell ref="C1:D2"/>
    <mergeCell ref="E2:I2"/>
  </mergeCells>
  <pageMargins left="0.34" right="0.26" top="0.75" bottom="0.75" header="0.3" footer="0.3"/>
  <pageSetup scale="65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2019-02-23T05:02:00Z</dcterms:created>
  <dcterms:modified xsi:type="dcterms:W3CDTF">2026-03-20T13:22:06Z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1033-11.2.0.10224</vt:lpwstr>
  </property>
</Properties>
</file>