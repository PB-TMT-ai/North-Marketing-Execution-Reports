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aa/Desktop/Desktop/General/JSW/Apr-Jun-25/Billing/"/>
    </mc:Choice>
  </mc:AlternateContent>
  <xr:revisionPtr revIDLastSave="0" documentId="13_ncr:1_{C99119E1-E667-B847-8660-788434EC16DC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1" sheetId="4" r:id="rId1"/>
  </sheets>
  <definedNames>
    <definedName name="_xlnm._FilterDatabase" localSheetId="0" hidden="1">Sheet1!$A$1:$Q$42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4" l="1"/>
  <c r="N39" i="4" s="1"/>
  <c r="O39" i="4" s="1"/>
  <c r="L32" i="4"/>
  <c r="N32" i="4" s="1"/>
  <c r="L30" i="4"/>
  <c r="N30" i="4" s="1"/>
  <c r="L17" i="4"/>
  <c r="N17" i="4" s="1"/>
  <c r="L5" i="4"/>
  <c r="N5" i="4" s="1"/>
  <c r="L3" i="4"/>
  <c r="N3" i="4" s="1"/>
  <c r="O3" i="4" l="1"/>
  <c r="P3" i="4" s="1"/>
  <c r="P39" i="4"/>
  <c r="O32" i="4"/>
  <c r="P32" i="4" s="1"/>
  <c r="O30" i="4"/>
  <c r="P30" i="4" s="1"/>
  <c r="O17" i="4"/>
  <c r="P17" i="4" s="1"/>
  <c r="O5" i="4"/>
  <c r="P5" i="4" s="1"/>
  <c r="L41" i="4" l="1"/>
  <c r="N41" i="4" s="1"/>
  <c r="O41" i="4" s="1"/>
  <c r="L40" i="4"/>
  <c r="N40" i="4" s="1"/>
  <c r="L38" i="4"/>
  <c r="N38" i="4" s="1"/>
  <c r="L37" i="4"/>
  <c r="N37" i="4" s="1"/>
  <c r="L36" i="4"/>
  <c r="N36" i="4" s="1"/>
  <c r="L35" i="4"/>
  <c r="N35" i="4" s="1"/>
  <c r="L34" i="4"/>
  <c r="N34" i="4" s="1"/>
  <c r="L33" i="4"/>
  <c r="N33" i="4" s="1"/>
  <c r="L31" i="4"/>
  <c r="N31" i="4" s="1"/>
  <c r="L29" i="4"/>
  <c r="N29" i="4" s="1"/>
  <c r="L28" i="4"/>
  <c r="N28" i="4" s="1"/>
  <c r="L27" i="4"/>
  <c r="N27" i="4" s="1"/>
  <c r="L26" i="4"/>
  <c r="N26" i="4" s="1"/>
  <c r="L25" i="4"/>
  <c r="N25" i="4" s="1"/>
  <c r="L24" i="4"/>
  <c r="N24" i="4" s="1"/>
  <c r="L23" i="4"/>
  <c r="N23" i="4" s="1"/>
  <c r="L22" i="4"/>
  <c r="N22" i="4" s="1"/>
  <c r="L21" i="4"/>
  <c r="N21" i="4" s="1"/>
  <c r="L20" i="4"/>
  <c r="N20" i="4" s="1"/>
  <c r="L19" i="4"/>
  <c r="N19" i="4" s="1"/>
  <c r="L18" i="4"/>
  <c r="N18" i="4" s="1"/>
  <c r="L16" i="4"/>
  <c r="N16" i="4" s="1"/>
  <c r="L15" i="4"/>
  <c r="N15" i="4" s="1"/>
  <c r="L14" i="4"/>
  <c r="N14" i="4" s="1"/>
  <c r="L13" i="4"/>
  <c r="N13" i="4" s="1"/>
  <c r="L12" i="4"/>
  <c r="N12" i="4" s="1"/>
  <c r="L11" i="4"/>
  <c r="N11" i="4" s="1"/>
  <c r="L10" i="4"/>
  <c r="N10" i="4" s="1"/>
  <c r="L9" i="4"/>
  <c r="N9" i="4" s="1"/>
  <c r="L8" i="4"/>
  <c r="N8" i="4" s="1"/>
  <c r="L7" i="4"/>
  <c r="N7" i="4" s="1"/>
  <c r="L6" i="4"/>
  <c r="N6" i="4" s="1"/>
  <c r="L4" i="4"/>
  <c r="N4" i="4" s="1"/>
  <c r="L2" i="4"/>
  <c r="N2" i="4" s="1"/>
  <c r="O29" i="4" l="1"/>
  <c r="P29" i="4" s="1"/>
  <c r="O37" i="4"/>
  <c r="P37" i="4" s="1"/>
  <c r="O14" i="4"/>
  <c r="P14" i="4" s="1"/>
  <c r="O8" i="4"/>
  <c r="P8" i="4" s="1"/>
  <c r="P20" i="4"/>
  <c r="N42" i="4"/>
  <c r="O2" i="4"/>
  <c r="O21" i="4"/>
  <c r="P21" i="4" s="1"/>
  <c r="O27" i="4"/>
  <c r="P27" i="4" s="1"/>
  <c r="O16" i="4"/>
  <c r="P16" i="4" s="1"/>
  <c r="O35" i="4"/>
  <c r="P35" i="4" s="1"/>
  <c r="O12" i="4"/>
  <c r="P12" i="4" s="1"/>
  <c r="O19" i="4"/>
  <c r="P19" i="4" s="1"/>
  <c r="O25" i="4"/>
  <c r="P25" i="4" s="1"/>
  <c r="O33" i="4"/>
  <c r="P33" i="4" s="1"/>
  <c r="O40" i="4"/>
  <c r="P40" i="4" s="1"/>
  <c r="O10" i="4"/>
  <c r="P10" i="4" s="1"/>
  <c r="O6" i="4"/>
  <c r="P6" i="4" s="1"/>
  <c r="O23" i="4"/>
  <c r="P23" i="4" s="1"/>
  <c r="O4" i="4"/>
  <c r="P4" i="4" s="1"/>
  <c r="O9" i="4"/>
  <c r="P9" i="4" s="1"/>
  <c r="O13" i="4"/>
  <c r="P13" i="4" s="1"/>
  <c r="O18" i="4"/>
  <c r="P18" i="4" s="1"/>
  <c r="O22" i="4"/>
  <c r="P22" i="4" s="1"/>
  <c r="O26" i="4"/>
  <c r="P26" i="4" s="1"/>
  <c r="O31" i="4"/>
  <c r="P31" i="4" s="1"/>
  <c r="O36" i="4"/>
  <c r="P36" i="4" s="1"/>
  <c r="O38" i="4"/>
  <c r="P38" i="4" s="1"/>
  <c r="P41" i="4"/>
  <c r="O7" i="4"/>
  <c r="P7" i="4" s="1"/>
  <c r="O11" i="4"/>
  <c r="P11" i="4" s="1"/>
  <c r="O15" i="4"/>
  <c r="P15" i="4" s="1"/>
  <c r="O20" i="4"/>
  <c r="O24" i="4"/>
  <c r="P24" i="4" s="1"/>
  <c r="O28" i="4"/>
  <c r="P28" i="4" s="1"/>
  <c r="O34" i="4"/>
  <c r="P34" i="4" s="1"/>
  <c r="O42" i="4" l="1"/>
  <c r="P2" i="4"/>
  <c r="P42" i="4" s="1"/>
</calcChain>
</file>

<file path=xl/sharedStrings.xml><?xml version="1.0" encoding="utf-8"?>
<sst xmlns="http://schemas.openxmlformats.org/spreadsheetml/2006/main" count="294" uniqueCount="118">
  <si>
    <t>City/District</t>
  </si>
  <si>
    <t>State</t>
  </si>
  <si>
    <t>Dealer Name</t>
  </si>
  <si>
    <t>Dealer Phone number</t>
  </si>
  <si>
    <t>Full Address  (print address)</t>
  </si>
  <si>
    <t>GST No.</t>
  </si>
  <si>
    <t>Type of Board (GSB/NLB )</t>
  </si>
  <si>
    <t>CHOUDHARY CEMENT STORE</t>
  </si>
  <si>
    <t>06AGSPC0171E1ZR</t>
  </si>
  <si>
    <t>NLB</t>
  </si>
  <si>
    <t>KISAN CEMENT STORE</t>
  </si>
  <si>
    <t>Railway Road, Near Anaj Mandi, Barwala, Hisar - 125121</t>
  </si>
  <si>
    <t>06ASOPK2551J1ZJ</t>
  </si>
  <si>
    <t>Aggarwal Traders</t>
  </si>
  <si>
    <t>Jind Road, Hansi, Hisar - 125033</t>
  </si>
  <si>
    <t>06IHFPS0356P1ZK</t>
  </si>
  <si>
    <t>GSB</t>
  </si>
  <si>
    <t>BANARSI DASS JAI BHAGWAN</t>
  </si>
  <si>
    <t>Anaj Mandi, Uchana, Jind - 126102</t>
  </si>
  <si>
    <t>06ABRPP2000M1ZK</t>
  </si>
  <si>
    <t>Gurgaon</t>
  </si>
  <si>
    <t>06AXRPK1152F1ZK</t>
  </si>
  <si>
    <t>SHYAM INTERNATIONAL</t>
  </si>
  <si>
    <t>06AKHPC9980A1ZA</t>
  </si>
  <si>
    <t>CHOPRA ENTERPRISES</t>
  </si>
  <si>
    <t>06AVEPC4786G1ZL</t>
  </si>
  <si>
    <t>Bhattu</t>
  </si>
  <si>
    <t>Khatu Shyam Enterprises</t>
  </si>
  <si>
    <t>Bhattu mandi, Bhattu</t>
  </si>
  <si>
    <t>Rohtak</t>
  </si>
  <si>
    <t>CITY BUILDER</t>
  </si>
  <si>
    <t>06CGIPK8740F1ZA</t>
  </si>
  <si>
    <t>R L ISPAT PRIVATE LIMITED</t>
  </si>
  <si>
    <t>06AADCR1068H1ZI</t>
  </si>
  <si>
    <t>SHREE SHYAM STEEL</t>
  </si>
  <si>
    <t>06DXWPK7699D1ZK</t>
  </si>
  <si>
    <t>Ambala</t>
  </si>
  <si>
    <t>Vardhman Steels</t>
  </si>
  <si>
    <t>06BFMPJ5432F1ZJ</t>
  </si>
  <si>
    <t>06AANPA5708L1ZM</t>
  </si>
  <si>
    <t>New Delhi</t>
  </si>
  <si>
    <t>Delhi</t>
  </si>
  <si>
    <t>MAHER CHAND &amp; GRAND SONS</t>
  </si>
  <si>
    <t>k-119 mahipalpur extn old rangpuri road new delhi -110037</t>
  </si>
  <si>
    <t>07bfmpk1329c3zo</t>
  </si>
  <si>
    <t>A-85-86 Dabri -palm road vaishali colony dasrathpuri new delh -110045</t>
  </si>
  <si>
    <t>07ALJPG4537C1ZD</t>
  </si>
  <si>
    <t>Dadri</t>
  </si>
  <si>
    <t>UP</t>
  </si>
  <si>
    <t>Ankit Trading Company</t>
  </si>
  <si>
    <t>Ghaziabad</t>
  </si>
  <si>
    <t>MAMVEER TRADERS</t>
  </si>
  <si>
    <t>Rohta Road by pass Crossing Shobhapur UP 250005</t>
  </si>
  <si>
    <t>09ACFPG8479E1ZB</t>
  </si>
  <si>
    <t>RUBY ENGINNERING &amp; STEEL TRADERS</t>
  </si>
  <si>
    <t>H NO 433, GALI NO 2, MEERUT ROAD, HINDON VIHAR, Ghaziabad, Uttar Pradesh, 201001</t>
  </si>
  <si>
    <t>09AAIFR8527K1ZK</t>
  </si>
  <si>
    <t>GAJRAJ ENTERPRISES</t>
  </si>
  <si>
    <t>SHOP NO 9 , GDA SHOPING COMPLEX SHAKTIKHAND 1 , INDIRAPURAM GHAZIABAD</t>
  </si>
  <si>
    <t>09AMIPK4348K1ZM</t>
  </si>
  <si>
    <t>GANGOTRI STEEL SYNDICATE</t>
  </si>
  <si>
    <t>113/8, NAVYUG MARKET, GHAZIABAD, Ghaziabad, Up 201001</t>
  </si>
  <si>
    <t>09ACEPG2271P1ZB</t>
  </si>
  <si>
    <t>KHANDELWAL STEEL CENTRE</t>
  </si>
  <si>
    <t>131, LOHA MANDI GHAZIABAD, U.P-201009</t>
  </si>
  <si>
    <t>09ABIPC2166J1ZN</t>
  </si>
  <si>
    <t>TANISHQ TRADING COMPANY</t>
  </si>
  <si>
    <t>09AAHPG2708C1Z5</t>
  </si>
  <si>
    <t>ARSH ENTERPRISE</t>
  </si>
  <si>
    <t>1265/3,UNCHI SADAK,MODINAGAR UP 201204</t>
  </si>
  <si>
    <t>09AYGPN9692M1ZC</t>
  </si>
  <si>
    <t>MITTAL TRADERS</t>
  </si>
  <si>
    <t>1414/3, SHASTRI NAGAR, Meerut, Meerut, Uttar Pradesh, 250004</t>
  </si>
  <si>
    <t>09CGLPG0445C1ZP</t>
  </si>
  <si>
    <t>Prabhu Traders</t>
  </si>
  <si>
    <t>10A/176 GF, VASUNDHARA, GHAZIABAD, Ghaziabad, Uttar Pradesh, 201012</t>
  </si>
  <si>
    <t>09BELPJ9147K1ZT</t>
  </si>
  <si>
    <t>Meerut</t>
  </si>
  <si>
    <t>S.No</t>
  </si>
  <si>
    <t>HANSI</t>
  </si>
  <si>
    <t>KITLANA</t>
  </si>
  <si>
    <t>BARWALA</t>
  </si>
  <si>
    <t>UCHANA</t>
  </si>
  <si>
    <t>JAGADHRI</t>
  </si>
  <si>
    <t>W</t>
  </si>
  <si>
    <t>H</t>
  </si>
  <si>
    <t>SQFT</t>
  </si>
  <si>
    <t>JARCHA ROAD</t>
  </si>
  <si>
    <t>09AJTPG7743E1ZT</t>
  </si>
  <si>
    <t>Shobhapur</t>
  </si>
  <si>
    <t>MODINAGAR</t>
  </si>
  <si>
    <t>GROUND FLOOR PLOT NO.27, G.T ROAD RAJENDER NAGAR, Mohan Nagar, Ghaziabad, Ghaziabad, Uttar Pradesh, 201007 Sahibabad</t>
  </si>
  <si>
    <t>13, NEW COLONY, OPPO. INDUSTRAIL AREA JAGHADHARI ROAD, AMBALA CANTT, Ambala, Haryana, 133001</t>
  </si>
  <si>
    <t>KHEWAT NO 203, KHATA NO. 279, HSIIDC ROAD,, VILLAGE ATERNA, TEHSIL-RAI,, Sonipat, Haryana, 131023</t>
  </si>
  <si>
    <t>PATUDI ROAD, NEAR BHARAT GAS GODOWN, GURUGRAM, Gurugram, Haryana, 122006</t>
  </si>
  <si>
    <t>BASAI CHOWK, NEAR STAR BANQUET HALL, SECTOR 9, 10 ROAD, GURGAON, Gurugram, Haryana, 122001</t>
  </si>
  <si>
    <t>33, MILESTONE, NEAR JHARSA CHOWK, GURGAON, Gurugram, Haryana, 122001</t>
  </si>
  <si>
    <t>OPP. PUNJAB NATIONAL BANK, GOBINDPURI, YAMUNA NAGAR, KAMAL ENTERPRISES, GOBINDPURI BYE PASS ROAD, YAMUNA NAGAR, YAMUNA NAGAR, Yamunanagar, Haryana, 135001</t>
  </si>
  <si>
    <t>KITLANA MOD, KITLANA MOD, VILL. KITLANA, Bhiwani, Haryana, 127021</t>
  </si>
  <si>
    <t>PLOT NO 4, Unnamed Road, FASTag Centre, BHAIYA PUR, Makrouli Khurd, Rohtak, Haryana, 124401</t>
  </si>
  <si>
    <t>MUSTIL NO. 1/5 KILA NO. 160/24, DELHI BYPASS ROAD, NEAR SAINI WORKSHOP, Kharkhoda, Sonipat, Haryana, 131402</t>
  </si>
  <si>
    <t>Kharkhoda</t>
  </si>
  <si>
    <t>ATERNA SONIPAT</t>
  </si>
  <si>
    <t>REMARSK</t>
  </si>
  <si>
    <t>HRY</t>
  </si>
  <si>
    <t>QTY</t>
  </si>
  <si>
    <t>P/S Madhav Steel  traders(BABA STEELS)</t>
  </si>
  <si>
    <t>Kamal Enterprises(ARUN TRADING AGENCY)</t>
  </si>
  <si>
    <t>RAHUL STEEL CORPORATION</t>
  </si>
  <si>
    <t>RATE</t>
  </si>
  <si>
    <t>AMOUNT</t>
  </si>
  <si>
    <t>TAX</t>
  </si>
  <si>
    <t>T.AMOUNT</t>
  </si>
  <si>
    <t>DONE</t>
  </si>
  <si>
    <t>Sharma steels and pipes</t>
  </si>
  <si>
    <t>DHARUHERA</t>
  </si>
  <si>
    <t>SOHNA ROAD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</si>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</sst>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181818"/>
      <name val="Calibri"/>
      <family val="2"/>
      <scheme val="minor"/>
    </font>
    <font>
      <sz val="8"/>
      <color rgb="FF21212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0" fillId="0" borderId="1" xfId="0" applyBorder="1"/>
    <xf numFmtId="2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F8C2-7C83-2745-AF62-BF33000C6F09}">
  <dimension ref="A1:Q42"/>
  <sheetViews>
    <sheetView tabSelected="1" topLeftCell="A19" workbookViewId="0">
      <selection activeCell="H25" sqref="H25"/>
    </sheetView>
  </sheetViews>
  <sheetFormatPr baseColWidth="10" defaultColWidth="8.83203125" defaultRowHeight="15" x14ac:dyDescent="0.2"/>
  <cols>
    <col min="4" max="4" width="12.1640625" customWidth="1"/>
    <col min="5" max="5" width="11.5" customWidth="1"/>
    <col min="6" max="6" width="39.5" customWidth="1"/>
    <col min="7" max="7" width="14.5" customWidth="1"/>
    <col min="14" max="14" width="9.5" bestFit="1" customWidth="1"/>
    <col min="16" max="16" width="10.5" customWidth="1"/>
  </cols>
  <sheetData>
    <row r="1" spans="1:17" ht="24" x14ac:dyDescent="0.2">
      <c r="A1" s="1" t="s">
        <v>78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84</v>
      </c>
      <c r="J1" s="2" t="s">
        <v>85</v>
      </c>
      <c r="K1" s="2" t="s">
        <v>105</v>
      </c>
      <c r="L1" s="2" t="s">
        <v>86</v>
      </c>
      <c r="M1" s="2" t="s">
        <v>109</v>
      </c>
      <c r="N1" s="2" t="s">
        <v>110</v>
      </c>
      <c r="O1" s="2" t="s">
        <v>111</v>
      </c>
      <c r="P1" s="2" t="s">
        <v>112</v>
      </c>
      <c r="Q1" s="2" t="s">
        <v>103</v>
      </c>
    </row>
    <row r="2" spans="1:17" ht="25" x14ac:dyDescent="0.2">
      <c r="A2" s="3">
        <v>1</v>
      </c>
      <c r="B2" s="4" t="s">
        <v>36</v>
      </c>
      <c r="C2" s="4" t="s">
        <v>104</v>
      </c>
      <c r="D2" s="3" t="s">
        <v>37</v>
      </c>
      <c r="E2" s="4">
        <v>9215167249</v>
      </c>
      <c r="F2" s="4" t="s">
        <v>92</v>
      </c>
      <c r="G2" s="4" t="s">
        <v>38</v>
      </c>
      <c r="H2" s="4" t="s">
        <v>16</v>
      </c>
      <c r="I2" s="3">
        <v>420</v>
      </c>
      <c r="J2" s="3">
        <v>48</v>
      </c>
      <c r="K2" s="3">
        <v>1</v>
      </c>
      <c r="L2" s="5">
        <f t="shared" ref="L2:L41" si="0">I2*J2*K2/144</f>
        <v>140</v>
      </c>
      <c r="M2" s="5">
        <v>175</v>
      </c>
      <c r="N2" s="5">
        <f t="shared" ref="N2:N41" si="1">L2*M2</f>
        <v>24500</v>
      </c>
      <c r="O2" s="5">
        <f t="shared" ref="O2:O41" si="2">N2*18/100</f>
        <v>4410</v>
      </c>
      <c r="P2" s="5">
        <f t="shared" ref="P2:P41" si="3">N2+O2</f>
        <v>28910</v>
      </c>
      <c r="Q2" s="3" t="s">
        <v>113</v>
      </c>
    </row>
    <row r="3" spans="1:17" ht="25" x14ac:dyDescent="0.2">
      <c r="A3" s="3">
        <v>2</v>
      </c>
      <c r="B3" s="4" t="s">
        <v>36</v>
      </c>
      <c r="C3" s="4" t="s">
        <v>104</v>
      </c>
      <c r="D3" s="3" t="s">
        <v>37</v>
      </c>
      <c r="E3" s="4">
        <v>9215167249</v>
      </c>
      <c r="F3" s="4" t="s">
        <v>92</v>
      </c>
      <c r="G3" s="4" t="s">
        <v>38</v>
      </c>
      <c r="H3" s="4" t="s">
        <v>117</v>
      </c>
      <c r="I3" s="3">
        <v>420</v>
      </c>
      <c r="J3" s="3">
        <v>24</v>
      </c>
      <c r="K3" s="3">
        <v>1</v>
      </c>
      <c r="L3" s="5">
        <f t="shared" ref="L3" si="4">I3*J3*K3/144</f>
        <v>70</v>
      </c>
      <c r="M3" s="5">
        <v>60</v>
      </c>
      <c r="N3" s="5">
        <f t="shared" ref="N3" si="5">L3*M3</f>
        <v>4200</v>
      </c>
      <c r="O3" s="5">
        <f t="shared" ref="O3" si="6">N3*18/100</f>
        <v>756</v>
      </c>
      <c r="P3" s="5">
        <f t="shared" ref="P3" si="7">N3+O3</f>
        <v>4956</v>
      </c>
      <c r="Q3" s="3" t="s">
        <v>113</v>
      </c>
    </row>
    <row r="4" spans="1:17" ht="37" x14ac:dyDescent="0.2">
      <c r="A4" s="3">
        <v>3</v>
      </c>
      <c r="B4" s="4" t="s">
        <v>83</v>
      </c>
      <c r="C4" s="4" t="s">
        <v>104</v>
      </c>
      <c r="D4" s="3" t="s">
        <v>107</v>
      </c>
      <c r="E4" s="4">
        <v>9053154000</v>
      </c>
      <c r="F4" s="4" t="s">
        <v>97</v>
      </c>
      <c r="G4" s="4" t="s">
        <v>39</v>
      </c>
      <c r="H4" s="4" t="s">
        <v>16</v>
      </c>
      <c r="I4" s="3">
        <v>840</v>
      </c>
      <c r="J4" s="3">
        <v>48</v>
      </c>
      <c r="K4" s="3">
        <v>1</v>
      </c>
      <c r="L4" s="5">
        <f t="shared" si="0"/>
        <v>280</v>
      </c>
      <c r="M4" s="5">
        <v>175</v>
      </c>
      <c r="N4" s="5">
        <f t="shared" si="1"/>
        <v>49000</v>
      </c>
      <c r="O4" s="5">
        <f t="shared" si="2"/>
        <v>8820</v>
      </c>
      <c r="P4" s="5">
        <f t="shared" si="3"/>
        <v>57820</v>
      </c>
      <c r="Q4" s="3" t="s">
        <v>113</v>
      </c>
    </row>
    <row r="5" spans="1:17" ht="37" x14ac:dyDescent="0.2">
      <c r="A5" s="3">
        <v>4</v>
      </c>
      <c r="B5" s="4" t="s">
        <v>83</v>
      </c>
      <c r="C5" s="4" t="s">
        <v>104</v>
      </c>
      <c r="D5" s="3" t="s">
        <v>107</v>
      </c>
      <c r="E5" s="4">
        <v>9053154000</v>
      </c>
      <c r="F5" s="4" t="s">
        <v>97</v>
      </c>
      <c r="G5" s="4" t="s">
        <v>39</v>
      </c>
      <c r="H5" s="4" t="s">
        <v>117</v>
      </c>
      <c r="I5" s="3">
        <v>840</v>
      </c>
      <c r="J5" s="3">
        <v>24</v>
      </c>
      <c r="K5" s="3">
        <v>1</v>
      </c>
      <c r="L5" s="5">
        <f t="shared" ref="L5" si="8">I5*J5*K5/144</f>
        <v>140</v>
      </c>
      <c r="M5" s="5">
        <v>60</v>
      </c>
      <c r="N5" s="5">
        <f t="shared" ref="N5" si="9">L5*M5</f>
        <v>8400</v>
      </c>
      <c r="O5" s="5">
        <f t="shared" ref="O5" si="10">N5*18/100</f>
        <v>1512</v>
      </c>
      <c r="P5" s="5">
        <f t="shared" ref="P5" si="11">N5+O5</f>
        <v>9912</v>
      </c>
      <c r="Q5" s="3" t="s">
        <v>113</v>
      </c>
    </row>
    <row r="6" spans="1:17" ht="25" x14ac:dyDescent="0.2">
      <c r="A6" s="3">
        <v>5</v>
      </c>
      <c r="B6" s="4" t="s">
        <v>101</v>
      </c>
      <c r="C6" s="4" t="s">
        <v>104</v>
      </c>
      <c r="D6" s="3" t="s">
        <v>34</v>
      </c>
      <c r="E6" s="4">
        <v>8199017850</v>
      </c>
      <c r="F6" s="4" t="s">
        <v>100</v>
      </c>
      <c r="G6" s="4" t="s">
        <v>35</v>
      </c>
      <c r="H6" s="4" t="s">
        <v>9</v>
      </c>
      <c r="I6" s="3">
        <v>144</v>
      </c>
      <c r="J6" s="3">
        <v>60</v>
      </c>
      <c r="K6" s="3">
        <v>1</v>
      </c>
      <c r="L6" s="5">
        <f t="shared" si="0"/>
        <v>60</v>
      </c>
      <c r="M6" s="5">
        <v>42</v>
      </c>
      <c r="N6" s="5">
        <f t="shared" si="1"/>
        <v>2520</v>
      </c>
      <c r="O6" s="5">
        <f t="shared" si="2"/>
        <v>453.6</v>
      </c>
      <c r="P6" s="5">
        <f t="shared" si="3"/>
        <v>2973.6</v>
      </c>
      <c r="Q6" s="3" t="s">
        <v>113</v>
      </c>
    </row>
    <row r="7" spans="1:17" ht="25" x14ac:dyDescent="0.2">
      <c r="A7" s="3">
        <v>6</v>
      </c>
      <c r="B7" s="4" t="s">
        <v>101</v>
      </c>
      <c r="C7" s="4" t="s">
        <v>104</v>
      </c>
      <c r="D7" s="3" t="s">
        <v>34</v>
      </c>
      <c r="E7" s="4">
        <v>8199017850</v>
      </c>
      <c r="F7" s="4" t="s">
        <v>100</v>
      </c>
      <c r="G7" s="4" t="s">
        <v>35</v>
      </c>
      <c r="H7" s="4" t="s">
        <v>16</v>
      </c>
      <c r="I7" s="8">
        <v>264</v>
      </c>
      <c r="J7" s="8">
        <v>48</v>
      </c>
      <c r="K7" s="8">
        <v>1</v>
      </c>
      <c r="L7" s="5">
        <f t="shared" si="0"/>
        <v>88</v>
      </c>
      <c r="M7" s="5">
        <v>175</v>
      </c>
      <c r="N7" s="5">
        <f t="shared" si="1"/>
        <v>15400</v>
      </c>
      <c r="O7" s="5">
        <f t="shared" si="2"/>
        <v>2772</v>
      </c>
      <c r="P7" s="5">
        <f t="shared" si="3"/>
        <v>18172</v>
      </c>
      <c r="Q7" s="8" t="s">
        <v>113</v>
      </c>
    </row>
    <row r="8" spans="1:17" ht="25" x14ac:dyDescent="0.2">
      <c r="A8" s="3">
        <v>7</v>
      </c>
      <c r="B8" s="4" t="s">
        <v>102</v>
      </c>
      <c r="C8" s="4" t="s">
        <v>104</v>
      </c>
      <c r="D8" s="3" t="s">
        <v>32</v>
      </c>
      <c r="E8" s="4">
        <v>9811229398</v>
      </c>
      <c r="F8" s="4" t="s">
        <v>93</v>
      </c>
      <c r="G8" s="4" t="s">
        <v>33</v>
      </c>
      <c r="H8" s="4" t="s">
        <v>9</v>
      </c>
      <c r="I8" s="3">
        <v>156</v>
      </c>
      <c r="J8" s="3">
        <v>60</v>
      </c>
      <c r="K8" s="3">
        <v>1</v>
      </c>
      <c r="L8" s="5">
        <f t="shared" si="0"/>
        <v>65</v>
      </c>
      <c r="M8" s="5">
        <v>42</v>
      </c>
      <c r="N8" s="5">
        <f t="shared" si="1"/>
        <v>2730</v>
      </c>
      <c r="O8" s="5">
        <f t="shared" si="2"/>
        <v>491.4</v>
      </c>
      <c r="P8" s="5">
        <f t="shared" si="3"/>
        <v>3221.4</v>
      </c>
      <c r="Q8" s="3" t="s">
        <v>113</v>
      </c>
    </row>
    <row r="9" spans="1:17" ht="25" x14ac:dyDescent="0.2">
      <c r="A9" s="3">
        <v>8</v>
      </c>
      <c r="B9" s="4" t="s">
        <v>102</v>
      </c>
      <c r="C9" s="4" t="s">
        <v>104</v>
      </c>
      <c r="D9" s="3" t="s">
        <v>32</v>
      </c>
      <c r="E9" s="4">
        <v>9811229398</v>
      </c>
      <c r="F9" s="4" t="s">
        <v>93</v>
      </c>
      <c r="G9" s="4" t="s">
        <v>33</v>
      </c>
      <c r="H9" s="4" t="s">
        <v>9</v>
      </c>
      <c r="I9" s="3">
        <v>144</v>
      </c>
      <c r="J9" s="3">
        <v>48</v>
      </c>
      <c r="K9" s="3">
        <v>1</v>
      </c>
      <c r="L9" s="5">
        <f t="shared" si="0"/>
        <v>48</v>
      </c>
      <c r="M9" s="5">
        <v>42</v>
      </c>
      <c r="N9" s="5">
        <f t="shared" si="1"/>
        <v>2016</v>
      </c>
      <c r="O9" s="5">
        <f t="shared" si="2"/>
        <v>362.88</v>
      </c>
      <c r="P9" s="5">
        <f t="shared" si="3"/>
        <v>2378.88</v>
      </c>
      <c r="Q9" s="3" t="s">
        <v>113</v>
      </c>
    </row>
    <row r="10" spans="1:17" ht="25" x14ac:dyDescent="0.2">
      <c r="A10" s="3">
        <v>9</v>
      </c>
      <c r="B10" s="4" t="s">
        <v>102</v>
      </c>
      <c r="C10" s="4" t="s">
        <v>104</v>
      </c>
      <c r="D10" s="3" t="s">
        <v>32</v>
      </c>
      <c r="E10" s="4">
        <v>9811229398</v>
      </c>
      <c r="F10" s="4" t="s">
        <v>93</v>
      </c>
      <c r="G10" s="4" t="s">
        <v>33</v>
      </c>
      <c r="H10" s="4" t="s">
        <v>16</v>
      </c>
      <c r="I10" s="3">
        <v>180</v>
      </c>
      <c r="J10" s="3">
        <v>60</v>
      </c>
      <c r="K10" s="3">
        <v>1</v>
      </c>
      <c r="L10" s="5">
        <f t="shared" si="0"/>
        <v>75</v>
      </c>
      <c r="M10" s="5">
        <v>175</v>
      </c>
      <c r="N10" s="5">
        <f t="shared" si="1"/>
        <v>13125</v>
      </c>
      <c r="O10" s="5">
        <f t="shared" si="2"/>
        <v>2362.5</v>
      </c>
      <c r="P10" s="5">
        <f t="shared" si="3"/>
        <v>15487.5</v>
      </c>
      <c r="Q10" s="3" t="s">
        <v>113</v>
      </c>
    </row>
    <row r="11" spans="1:17" ht="25" x14ac:dyDescent="0.2">
      <c r="A11" s="3">
        <v>10</v>
      </c>
      <c r="B11" s="4" t="s">
        <v>102</v>
      </c>
      <c r="C11" s="4" t="s">
        <v>104</v>
      </c>
      <c r="D11" s="3" t="s">
        <v>32</v>
      </c>
      <c r="E11" s="4">
        <v>9811229398</v>
      </c>
      <c r="F11" s="4" t="s">
        <v>93</v>
      </c>
      <c r="G11" s="4" t="s">
        <v>33</v>
      </c>
      <c r="H11" s="4" t="s">
        <v>16</v>
      </c>
      <c r="I11" s="3">
        <v>204</v>
      </c>
      <c r="J11" s="3">
        <v>48</v>
      </c>
      <c r="K11" s="3">
        <v>1</v>
      </c>
      <c r="L11" s="5">
        <f t="shared" si="0"/>
        <v>68</v>
      </c>
      <c r="M11" s="5">
        <v>175</v>
      </c>
      <c r="N11" s="5">
        <f t="shared" si="1"/>
        <v>11900</v>
      </c>
      <c r="O11" s="5">
        <f t="shared" si="2"/>
        <v>2142</v>
      </c>
      <c r="P11" s="5">
        <f t="shared" si="3"/>
        <v>14042</v>
      </c>
      <c r="Q11" s="3" t="s">
        <v>113</v>
      </c>
    </row>
    <row r="12" spans="1:17" ht="25" x14ac:dyDescent="0.2">
      <c r="A12" s="3">
        <v>11</v>
      </c>
      <c r="B12" s="4" t="s">
        <v>26</v>
      </c>
      <c r="C12" s="4" t="s">
        <v>104</v>
      </c>
      <c r="D12" s="3" t="s">
        <v>27</v>
      </c>
      <c r="E12" s="4">
        <v>9416168211</v>
      </c>
      <c r="F12" s="4" t="s">
        <v>28</v>
      </c>
      <c r="G12" s="4"/>
      <c r="H12" s="6" t="s">
        <v>16</v>
      </c>
      <c r="I12" s="3">
        <v>240</v>
      </c>
      <c r="J12" s="3">
        <v>48</v>
      </c>
      <c r="K12" s="3">
        <v>1</v>
      </c>
      <c r="L12" s="5">
        <f t="shared" si="0"/>
        <v>80</v>
      </c>
      <c r="M12" s="5">
        <v>175</v>
      </c>
      <c r="N12" s="5">
        <f t="shared" si="1"/>
        <v>14000</v>
      </c>
      <c r="O12" s="5">
        <f t="shared" si="2"/>
        <v>2520</v>
      </c>
      <c r="P12" s="5">
        <f t="shared" si="3"/>
        <v>16520</v>
      </c>
      <c r="Q12" s="3" t="s">
        <v>113</v>
      </c>
    </row>
    <row r="13" spans="1:17" ht="25" x14ac:dyDescent="0.2">
      <c r="A13" s="3">
        <v>12</v>
      </c>
      <c r="B13" s="4" t="s">
        <v>29</v>
      </c>
      <c r="C13" s="4" t="s">
        <v>104</v>
      </c>
      <c r="D13" s="3" t="s">
        <v>30</v>
      </c>
      <c r="E13" s="4">
        <v>8607404070</v>
      </c>
      <c r="F13" s="4" t="s">
        <v>99</v>
      </c>
      <c r="G13" s="4" t="s">
        <v>31</v>
      </c>
      <c r="H13" s="4" t="s">
        <v>16</v>
      </c>
      <c r="I13" s="3">
        <v>222</v>
      </c>
      <c r="J13" s="3">
        <v>48</v>
      </c>
      <c r="K13" s="3">
        <v>1</v>
      </c>
      <c r="L13" s="5">
        <f t="shared" si="0"/>
        <v>74</v>
      </c>
      <c r="M13" s="5">
        <v>175</v>
      </c>
      <c r="N13" s="5">
        <f t="shared" si="1"/>
        <v>12950</v>
      </c>
      <c r="O13" s="5">
        <f t="shared" si="2"/>
        <v>2331</v>
      </c>
      <c r="P13" s="5">
        <f t="shared" si="3"/>
        <v>15281</v>
      </c>
      <c r="Q13" s="3" t="s">
        <v>113</v>
      </c>
    </row>
    <row r="14" spans="1:17" ht="25" x14ac:dyDescent="0.2">
      <c r="A14" s="3">
        <v>13</v>
      </c>
      <c r="B14" s="4" t="s">
        <v>82</v>
      </c>
      <c r="C14" s="4" t="s">
        <v>104</v>
      </c>
      <c r="D14" s="3" t="s">
        <v>17</v>
      </c>
      <c r="E14" s="4">
        <v>9467061910</v>
      </c>
      <c r="F14" s="4" t="s">
        <v>18</v>
      </c>
      <c r="G14" s="4" t="s">
        <v>19</v>
      </c>
      <c r="H14" s="6" t="s">
        <v>16</v>
      </c>
      <c r="I14" s="8">
        <v>204</v>
      </c>
      <c r="J14" s="8">
        <v>48</v>
      </c>
      <c r="K14" s="8">
        <v>1</v>
      </c>
      <c r="L14" s="5">
        <f t="shared" si="0"/>
        <v>68</v>
      </c>
      <c r="M14" s="5">
        <v>175</v>
      </c>
      <c r="N14" s="5">
        <f t="shared" si="1"/>
        <v>11900</v>
      </c>
      <c r="O14" s="5">
        <f t="shared" si="2"/>
        <v>2142</v>
      </c>
      <c r="P14" s="5">
        <f t="shared" si="3"/>
        <v>14042</v>
      </c>
      <c r="Q14" s="3" t="s">
        <v>113</v>
      </c>
    </row>
    <row r="15" spans="1:17" ht="25" x14ac:dyDescent="0.2">
      <c r="A15" s="3">
        <v>14</v>
      </c>
      <c r="B15" s="4" t="s">
        <v>81</v>
      </c>
      <c r="C15" s="4" t="s">
        <v>104</v>
      </c>
      <c r="D15" s="3" t="s">
        <v>10</v>
      </c>
      <c r="E15" s="4">
        <v>7082516637</v>
      </c>
      <c r="F15" s="4" t="s">
        <v>11</v>
      </c>
      <c r="G15" s="4" t="s">
        <v>12</v>
      </c>
      <c r="H15" s="6" t="s">
        <v>16</v>
      </c>
      <c r="I15" s="3">
        <v>180</v>
      </c>
      <c r="J15" s="3">
        <v>48</v>
      </c>
      <c r="K15" s="3">
        <v>1</v>
      </c>
      <c r="L15" s="5">
        <f t="shared" si="0"/>
        <v>60</v>
      </c>
      <c r="M15" s="5">
        <v>175</v>
      </c>
      <c r="N15" s="5">
        <f t="shared" si="1"/>
        <v>10500</v>
      </c>
      <c r="O15" s="5">
        <f t="shared" si="2"/>
        <v>1890</v>
      </c>
      <c r="P15" s="5">
        <f t="shared" si="3"/>
        <v>12390</v>
      </c>
      <c r="Q15" s="3" t="s">
        <v>113</v>
      </c>
    </row>
    <row r="16" spans="1:17" ht="25" x14ac:dyDescent="0.2">
      <c r="A16" s="3">
        <v>15</v>
      </c>
      <c r="B16" s="4" t="s">
        <v>80</v>
      </c>
      <c r="C16" s="4" t="s">
        <v>104</v>
      </c>
      <c r="D16" s="3" t="s">
        <v>7</v>
      </c>
      <c r="E16" s="4">
        <v>9991166317</v>
      </c>
      <c r="F16" s="9" t="s">
        <v>98</v>
      </c>
      <c r="G16" s="4" t="s">
        <v>8</v>
      </c>
      <c r="H16" s="6" t="s">
        <v>16</v>
      </c>
      <c r="I16" s="3">
        <v>336</v>
      </c>
      <c r="J16" s="3">
        <v>72</v>
      </c>
      <c r="K16" s="3">
        <v>1</v>
      </c>
      <c r="L16" s="5">
        <f t="shared" si="0"/>
        <v>168</v>
      </c>
      <c r="M16" s="5">
        <v>175</v>
      </c>
      <c r="N16" s="5">
        <f t="shared" si="1"/>
        <v>29400</v>
      </c>
      <c r="O16" s="5">
        <f t="shared" si="2"/>
        <v>5292</v>
      </c>
      <c r="P16" s="5">
        <f t="shared" si="3"/>
        <v>34692</v>
      </c>
      <c r="Q16" s="3" t="s">
        <v>113</v>
      </c>
    </row>
    <row r="17" spans="1:17" ht="25" x14ac:dyDescent="0.2">
      <c r="A17" s="3">
        <v>16</v>
      </c>
      <c r="B17" s="4" t="s">
        <v>80</v>
      </c>
      <c r="C17" s="4" t="s">
        <v>104</v>
      </c>
      <c r="D17" s="3" t="s">
        <v>7</v>
      </c>
      <c r="E17" s="4">
        <v>9991166317</v>
      </c>
      <c r="F17" s="9" t="s">
        <v>98</v>
      </c>
      <c r="G17" s="4" t="s">
        <v>8</v>
      </c>
      <c r="H17" s="4" t="s">
        <v>117</v>
      </c>
      <c r="I17" s="3">
        <v>336</v>
      </c>
      <c r="J17" s="3">
        <v>24</v>
      </c>
      <c r="K17" s="3">
        <v>1</v>
      </c>
      <c r="L17" s="5">
        <f t="shared" ref="L17" si="12">I17*J17*K17/144</f>
        <v>56</v>
      </c>
      <c r="M17" s="5">
        <v>60</v>
      </c>
      <c r="N17" s="5">
        <f t="shared" ref="N17" si="13">L17*M17</f>
        <v>3360</v>
      </c>
      <c r="O17" s="5">
        <f t="shared" ref="O17" si="14">N17*18/100</f>
        <v>604.79999999999995</v>
      </c>
      <c r="P17" s="5">
        <f t="shared" ref="P17" si="15">N17+O17</f>
        <v>3964.8</v>
      </c>
      <c r="Q17" s="3" t="s">
        <v>113</v>
      </c>
    </row>
    <row r="18" spans="1:17" x14ac:dyDescent="0.2">
      <c r="A18" s="3">
        <v>17</v>
      </c>
      <c r="B18" s="4" t="s">
        <v>79</v>
      </c>
      <c r="C18" s="4" t="s">
        <v>104</v>
      </c>
      <c r="D18" s="3" t="s">
        <v>13</v>
      </c>
      <c r="E18" s="4">
        <v>9253325410</v>
      </c>
      <c r="F18" s="4" t="s">
        <v>14</v>
      </c>
      <c r="G18" s="4" t="s">
        <v>15</v>
      </c>
      <c r="H18" s="4" t="s">
        <v>9</v>
      </c>
      <c r="I18" s="3">
        <v>89</v>
      </c>
      <c r="J18" s="3">
        <v>120</v>
      </c>
      <c r="K18" s="3">
        <v>1</v>
      </c>
      <c r="L18" s="5">
        <f t="shared" si="0"/>
        <v>74.166666666666671</v>
      </c>
      <c r="M18" s="5">
        <v>42</v>
      </c>
      <c r="N18" s="5">
        <f t="shared" si="1"/>
        <v>3115</v>
      </c>
      <c r="O18" s="5">
        <f t="shared" si="2"/>
        <v>560.70000000000005</v>
      </c>
      <c r="P18" s="5">
        <f t="shared" si="3"/>
        <v>3675.7</v>
      </c>
      <c r="Q18" s="3" t="s">
        <v>113</v>
      </c>
    </row>
    <row r="19" spans="1:17" x14ac:dyDescent="0.2">
      <c r="A19" s="3">
        <v>18</v>
      </c>
      <c r="B19" s="4" t="s">
        <v>79</v>
      </c>
      <c r="C19" s="4" t="s">
        <v>104</v>
      </c>
      <c r="D19" s="3" t="s">
        <v>13</v>
      </c>
      <c r="E19" s="4">
        <v>9253325410</v>
      </c>
      <c r="F19" s="4" t="s">
        <v>14</v>
      </c>
      <c r="G19" s="4" t="s">
        <v>15</v>
      </c>
      <c r="H19" s="4" t="s">
        <v>16</v>
      </c>
      <c r="I19" s="3">
        <v>240</v>
      </c>
      <c r="J19" s="3">
        <v>48</v>
      </c>
      <c r="K19" s="3">
        <v>1</v>
      </c>
      <c r="L19" s="5">
        <f t="shared" si="0"/>
        <v>80</v>
      </c>
      <c r="M19" s="5">
        <v>175</v>
      </c>
      <c r="N19" s="5">
        <f t="shared" si="1"/>
        <v>14000</v>
      </c>
      <c r="O19" s="5">
        <f t="shared" si="2"/>
        <v>2520</v>
      </c>
      <c r="P19" s="5">
        <f t="shared" si="3"/>
        <v>16520</v>
      </c>
      <c r="Q19" s="3" t="s">
        <v>113</v>
      </c>
    </row>
    <row r="20" spans="1:17" ht="25" x14ac:dyDescent="0.2">
      <c r="A20" s="3">
        <v>19</v>
      </c>
      <c r="B20" s="4" t="s">
        <v>50</v>
      </c>
      <c r="C20" s="4" t="s">
        <v>48</v>
      </c>
      <c r="D20" s="3" t="s">
        <v>63</v>
      </c>
      <c r="E20" s="4">
        <v>9810123317</v>
      </c>
      <c r="F20" s="4" t="s">
        <v>64</v>
      </c>
      <c r="G20" s="4" t="s">
        <v>65</v>
      </c>
      <c r="H20" s="4" t="s">
        <v>16</v>
      </c>
      <c r="I20" s="3">
        <v>240</v>
      </c>
      <c r="J20" s="3">
        <v>60</v>
      </c>
      <c r="K20" s="3">
        <v>1</v>
      </c>
      <c r="L20" s="5">
        <f t="shared" si="0"/>
        <v>100</v>
      </c>
      <c r="M20" s="5">
        <v>175</v>
      </c>
      <c r="N20" s="5">
        <f t="shared" si="1"/>
        <v>17500</v>
      </c>
      <c r="O20" s="5">
        <f t="shared" si="2"/>
        <v>3150</v>
      </c>
      <c r="P20" s="5">
        <f t="shared" si="3"/>
        <v>20650</v>
      </c>
      <c r="Q20" s="3" t="s">
        <v>113</v>
      </c>
    </row>
    <row r="21" spans="1:17" ht="25" x14ac:dyDescent="0.2">
      <c r="A21" s="3">
        <v>20</v>
      </c>
      <c r="B21" s="4" t="s">
        <v>50</v>
      </c>
      <c r="C21" s="4" t="s">
        <v>48</v>
      </c>
      <c r="D21" s="3" t="s">
        <v>66</v>
      </c>
      <c r="E21" s="4">
        <v>9810013804</v>
      </c>
      <c r="F21" s="4" t="s">
        <v>91</v>
      </c>
      <c r="G21" s="4" t="s">
        <v>67</v>
      </c>
      <c r="H21" s="4" t="s">
        <v>16</v>
      </c>
      <c r="I21" s="3">
        <v>216</v>
      </c>
      <c r="J21" s="3">
        <v>48</v>
      </c>
      <c r="K21" s="3">
        <v>1</v>
      </c>
      <c r="L21" s="5">
        <f t="shared" si="0"/>
        <v>72</v>
      </c>
      <c r="M21" s="5">
        <v>175</v>
      </c>
      <c r="N21" s="5">
        <f t="shared" si="1"/>
        <v>12600</v>
      </c>
      <c r="O21" s="5">
        <f t="shared" si="2"/>
        <v>2268</v>
      </c>
      <c r="P21" s="5">
        <f t="shared" si="3"/>
        <v>14868</v>
      </c>
      <c r="Q21" s="3" t="s">
        <v>113</v>
      </c>
    </row>
    <row r="22" spans="1:17" ht="25" x14ac:dyDescent="0.2">
      <c r="A22" s="3">
        <v>21</v>
      </c>
      <c r="B22" s="4" t="s">
        <v>50</v>
      </c>
      <c r="C22" s="4" t="s">
        <v>48</v>
      </c>
      <c r="D22" s="3" t="s">
        <v>54</v>
      </c>
      <c r="E22" s="4">
        <v>9312572426</v>
      </c>
      <c r="F22" s="4" t="s">
        <v>55</v>
      </c>
      <c r="G22" s="4" t="s">
        <v>56</v>
      </c>
      <c r="H22" s="4" t="s">
        <v>9</v>
      </c>
      <c r="I22" s="3">
        <v>180</v>
      </c>
      <c r="J22" s="3">
        <v>48</v>
      </c>
      <c r="K22" s="3">
        <v>1</v>
      </c>
      <c r="L22" s="5">
        <f t="shared" si="0"/>
        <v>60</v>
      </c>
      <c r="M22" s="5">
        <v>42</v>
      </c>
      <c r="N22" s="5">
        <f t="shared" si="1"/>
        <v>2520</v>
      </c>
      <c r="O22" s="5">
        <f t="shared" si="2"/>
        <v>453.6</v>
      </c>
      <c r="P22" s="5">
        <f t="shared" si="3"/>
        <v>2973.6</v>
      </c>
      <c r="Q22" s="3" t="s">
        <v>113</v>
      </c>
    </row>
    <row r="23" spans="1:17" ht="25" x14ac:dyDescent="0.2">
      <c r="A23" s="3">
        <v>22</v>
      </c>
      <c r="B23" s="4" t="s">
        <v>50</v>
      </c>
      <c r="C23" s="4" t="s">
        <v>48</v>
      </c>
      <c r="D23" s="3" t="s">
        <v>74</v>
      </c>
      <c r="E23" s="4">
        <v>9540744303</v>
      </c>
      <c r="F23" s="7" t="s">
        <v>75</v>
      </c>
      <c r="G23" s="4" t="s">
        <v>76</v>
      </c>
      <c r="H23" s="4" t="s">
        <v>9</v>
      </c>
      <c r="I23" s="3">
        <v>48</v>
      </c>
      <c r="J23" s="3">
        <v>72</v>
      </c>
      <c r="K23" s="3">
        <v>2</v>
      </c>
      <c r="L23" s="5">
        <f t="shared" si="0"/>
        <v>48</v>
      </c>
      <c r="M23" s="5">
        <v>42</v>
      </c>
      <c r="N23" s="5">
        <f t="shared" si="1"/>
        <v>2016</v>
      </c>
      <c r="O23" s="5">
        <f t="shared" si="2"/>
        <v>362.88</v>
      </c>
      <c r="P23" s="5">
        <f t="shared" si="3"/>
        <v>2378.88</v>
      </c>
      <c r="Q23" s="3" t="s">
        <v>113</v>
      </c>
    </row>
    <row r="24" spans="1:17" ht="25" x14ac:dyDescent="0.2">
      <c r="A24" s="3">
        <v>23</v>
      </c>
      <c r="B24" s="4" t="s">
        <v>50</v>
      </c>
      <c r="C24" s="4" t="s">
        <v>48</v>
      </c>
      <c r="D24" s="3" t="s">
        <v>74</v>
      </c>
      <c r="E24" s="4">
        <v>9540744303</v>
      </c>
      <c r="F24" s="7" t="s">
        <v>75</v>
      </c>
      <c r="G24" s="4" t="s">
        <v>76</v>
      </c>
      <c r="H24" s="4" t="s">
        <v>16</v>
      </c>
      <c r="I24" s="3">
        <v>96</v>
      </c>
      <c r="J24" s="3">
        <v>32</v>
      </c>
      <c r="K24" s="3">
        <v>1</v>
      </c>
      <c r="L24" s="5">
        <f t="shared" si="0"/>
        <v>21.333333333333332</v>
      </c>
      <c r="M24" s="5">
        <v>175</v>
      </c>
      <c r="N24" s="5">
        <f t="shared" si="1"/>
        <v>3733.333333333333</v>
      </c>
      <c r="O24" s="5">
        <f t="shared" si="2"/>
        <v>672</v>
      </c>
      <c r="P24" s="5">
        <f t="shared" si="3"/>
        <v>4405.333333333333</v>
      </c>
      <c r="Q24" s="3" t="s">
        <v>113</v>
      </c>
    </row>
    <row r="25" spans="1:17" ht="25" x14ac:dyDescent="0.2">
      <c r="A25" s="3">
        <v>24</v>
      </c>
      <c r="B25" s="4" t="s">
        <v>50</v>
      </c>
      <c r="C25" s="4" t="s">
        <v>48</v>
      </c>
      <c r="D25" s="3" t="s">
        <v>57</v>
      </c>
      <c r="E25" s="4">
        <v>98108003320</v>
      </c>
      <c r="F25" s="4" t="s">
        <v>58</v>
      </c>
      <c r="G25" s="4" t="s">
        <v>59</v>
      </c>
      <c r="H25" s="4" t="s">
        <v>16</v>
      </c>
      <c r="I25" s="3">
        <v>120</v>
      </c>
      <c r="J25" s="3">
        <v>36</v>
      </c>
      <c r="K25" s="3">
        <v>1</v>
      </c>
      <c r="L25" s="5">
        <f t="shared" si="0"/>
        <v>30</v>
      </c>
      <c r="M25" s="5">
        <v>175</v>
      </c>
      <c r="N25" s="5">
        <f t="shared" si="1"/>
        <v>5250</v>
      </c>
      <c r="O25" s="5">
        <f t="shared" si="2"/>
        <v>945</v>
      </c>
      <c r="P25" s="5">
        <f t="shared" si="3"/>
        <v>6195</v>
      </c>
      <c r="Q25" s="3" t="s">
        <v>113</v>
      </c>
    </row>
    <row r="26" spans="1:17" ht="25" x14ac:dyDescent="0.2">
      <c r="A26" s="3">
        <v>25</v>
      </c>
      <c r="B26" s="4" t="s">
        <v>50</v>
      </c>
      <c r="C26" s="4" t="s">
        <v>48</v>
      </c>
      <c r="D26" s="3" t="s">
        <v>60</v>
      </c>
      <c r="E26" s="4">
        <v>9810021885</v>
      </c>
      <c r="F26" s="4" t="s">
        <v>61</v>
      </c>
      <c r="G26" s="4" t="s">
        <v>62</v>
      </c>
      <c r="H26" s="4" t="s">
        <v>16</v>
      </c>
      <c r="I26" s="3">
        <v>224</v>
      </c>
      <c r="J26" s="3">
        <v>48</v>
      </c>
      <c r="K26" s="3">
        <v>1</v>
      </c>
      <c r="L26" s="5">
        <f t="shared" si="0"/>
        <v>74.666666666666671</v>
      </c>
      <c r="M26" s="5">
        <v>175</v>
      </c>
      <c r="N26" s="5">
        <f t="shared" si="1"/>
        <v>13066.666666666668</v>
      </c>
      <c r="O26" s="5">
        <f t="shared" si="2"/>
        <v>2352.0000000000005</v>
      </c>
      <c r="P26" s="5">
        <f t="shared" si="3"/>
        <v>15418.666666666668</v>
      </c>
      <c r="Q26" s="3" t="s">
        <v>113</v>
      </c>
    </row>
    <row r="27" spans="1:17" ht="25" x14ac:dyDescent="0.2">
      <c r="A27" s="3">
        <v>26</v>
      </c>
      <c r="B27" s="4" t="s">
        <v>47</v>
      </c>
      <c r="C27" s="4" t="s">
        <v>48</v>
      </c>
      <c r="D27" s="3" t="s">
        <v>49</v>
      </c>
      <c r="E27" s="4">
        <v>9911897773</v>
      </c>
      <c r="F27" s="4" t="s">
        <v>87</v>
      </c>
      <c r="G27" s="4" t="s">
        <v>88</v>
      </c>
      <c r="H27" s="4" t="s">
        <v>16</v>
      </c>
      <c r="I27" s="3">
        <v>300</v>
      </c>
      <c r="J27" s="3">
        <v>36</v>
      </c>
      <c r="K27" s="3">
        <v>1</v>
      </c>
      <c r="L27" s="5">
        <f t="shared" si="0"/>
        <v>75</v>
      </c>
      <c r="M27" s="5">
        <v>175</v>
      </c>
      <c r="N27" s="5">
        <f t="shared" si="1"/>
        <v>13125</v>
      </c>
      <c r="O27" s="5">
        <f t="shared" si="2"/>
        <v>2362.5</v>
      </c>
      <c r="P27" s="5">
        <f t="shared" si="3"/>
        <v>15487.5</v>
      </c>
      <c r="Q27" s="3" t="s">
        <v>113</v>
      </c>
    </row>
    <row r="28" spans="1:17" x14ac:dyDescent="0.2">
      <c r="A28" s="3">
        <v>27</v>
      </c>
      <c r="B28" s="4" t="s">
        <v>89</v>
      </c>
      <c r="C28" s="4" t="s">
        <v>48</v>
      </c>
      <c r="D28" s="3" t="s">
        <v>51</v>
      </c>
      <c r="E28" s="4">
        <v>9927029216</v>
      </c>
      <c r="F28" s="4" t="s">
        <v>52</v>
      </c>
      <c r="G28" s="4" t="s">
        <v>53</v>
      </c>
      <c r="H28" s="4" t="s">
        <v>9</v>
      </c>
      <c r="I28" s="3">
        <v>240</v>
      </c>
      <c r="J28" s="3">
        <v>48</v>
      </c>
      <c r="K28" s="3">
        <v>1</v>
      </c>
      <c r="L28" s="5">
        <f t="shared" si="0"/>
        <v>80</v>
      </c>
      <c r="M28" s="5">
        <v>42</v>
      </c>
      <c r="N28" s="5">
        <f t="shared" si="1"/>
        <v>3360</v>
      </c>
      <c r="O28" s="5">
        <f t="shared" si="2"/>
        <v>604.79999999999995</v>
      </c>
      <c r="P28" s="5">
        <f t="shared" si="3"/>
        <v>3964.8</v>
      </c>
      <c r="Q28" s="3" t="s">
        <v>113</v>
      </c>
    </row>
    <row r="29" spans="1:17" x14ac:dyDescent="0.2">
      <c r="A29" s="3">
        <v>28</v>
      </c>
      <c r="B29" s="4" t="s">
        <v>77</v>
      </c>
      <c r="C29" s="4" t="s">
        <v>48</v>
      </c>
      <c r="D29" s="3" t="s">
        <v>71</v>
      </c>
      <c r="E29" s="4">
        <v>8447677996</v>
      </c>
      <c r="F29" s="7" t="s">
        <v>72</v>
      </c>
      <c r="G29" s="4" t="s">
        <v>73</v>
      </c>
      <c r="H29" s="4" t="s">
        <v>16</v>
      </c>
      <c r="I29" s="3">
        <v>324</v>
      </c>
      <c r="J29" s="3">
        <v>60</v>
      </c>
      <c r="K29" s="3">
        <v>1</v>
      </c>
      <c r="L29" s="5">
        <f t="shared" si="0"/>
        <v>135</v>
      </c>
      <c r="M29" s="5">
        <v>175</v>
      </c>
      <c r="N29" s="5">
        <f t="shared" si="1"/>
        <v>23625</v>
      </c>
      <c r="O29" s="5">
        <f t="shared" si="2"/>
        <v>4252.5</v>
      </c>
      <c r="P29" s="5">
        <f t="shared" si="3"/>
        <v>27877.5</v>
      </c>
      <c r="Q29" s="3" t="s">
        <v>113</v>
      </c>
    </row>
    <row r="30" spans="1:17" x14ac:dyDescent="0.2">
      <c r="A30" s="3">
        <v>29</v>
      </c>
      <c r="B30" s="4" t="s">
        <v>77</v>
      </c>
      <c r="C30" s="4" t="s">
        <v>48</v>
      </c>
      <c r="D30" s="3" t="s">
        <v>71</v>
      </c>
      <c r="E30" s="4">
        <v>8447677996</v>
      </c>
      <c r="F30" s="7" t="s">
        <v>72</v>
      </c>
      <c r="G30" s="4" t="s">
        <v>73</v>
      </c>
      <c r="H30" s="4" t="s">
        <v>117</v>
      </c>
      <c r="I30" s="3">
        <v>324</v>
      </c>
      <c r="J30" s="3">
        <v>24</v>
      </c>
      <c r="K30" s="3">
        <v>1</v>
      </c>
      <c r="L30" s="5">
        <f t="shared" ref="L30" si="16">I30*J30*K30/144</f>
        <v>54</v>
      </c>
      <c r="M30" s="5">
        <v>60</v>
      </c>
      <c r="N30" s="5">
        <f t="shared" ref="N30" si="17">L30*M30</f>
        <v>3240</v>
      </c>
      <c r="O30" s="5">
        <f t="shared" ref="O30" si="18">N30*18/100</f>
        <v>583.20000000000005</v>
      </c>
      <c r="P30" s="5">
        <f t="shared" ref="P30" si="19">N30+O30</f>
        <v>3823.2</v>
      </c>
      <c r="Q30" s="3" t="s">
        <v>113</v>
      </c>
    </row>
    <row r="31" spans="1:17" x14ac:dyDescent="0.2">
      <c r="A31" s="3">
        <v>30</v>
      </c>
      <c r="B31" s="4" t="s">
        <v>90</v>
      </c>
      <c r="C31" s="4" t="s">
        <v>48</v>
      </c>
      <c r="D31" s="3" t="s">
        <v>68</v>
      </c>
      <c r="E31" s="4">
        <v>9259529737</v>
      </c>
      <c r="F31" s="4" t="s">
        <v>69</v>
      </c>
      <c r="G31" s="4" t="s">
        <v>70</v>
      </c>
      <c r="H31" s="4" t="s">
        <v>16</v>
      </c>
      <c r="I31" s="3">
        <v>360</v>
      </c>
      <c r="J31" s="3">
        <v>60</v>
      </c>
      <c r="K31" s="3">
        <v>1</v>
      </c>
      <c r="L31" s="5">
        <f t="shared" si="0"/>
        <v>150</v>
      </c>
      <c r="M31" s="5">
        <v>175</v>
      </c>
      <c r="N31" s="5">
        <f t="shared" si="1"/>
        <v>26250</v>
      </c>
      <c r="O31" s="5">
        <f t="shared" si="2"/>
        <v>4725</v>
      </c>
      <c r="P31" s="5">
        <f t="shared" si="3"/>
        <v>30975</v>
      </c>
      <c r="Q31" s="3" t="s">
        <v>113</v>
      </c>
    </row>
    <row r="32" spans="1:17" x14ac:dyDescent="0.2">
      <c r="A32" s="3">
        <v>31</v>
      </c>
      <c r="B32" s="4" t="s">
        <v>90</v>
      </c>
      <c r="C32" s="4" t="s">
        <v>48</v>
      </c>
      <c r="D32" s="3" t="s">
        <v>68</v>
      </c>
      <c r="E32" s="4">
        <v>9259529737</v>
      </c>
      <c r="F32" s="4" t="s">
        <v>69</v>
      </c>
      <c r="G32" s="4" t="s">
        <v>70</v>
      </c>
      <c r="H32" s="4" t="s">
        <v>117</v>
      </c>
      <c r="I32" s="3">
        <v>360</v>
      </c>
      <c r="J32" s="3">
        <v>24</v>
      </c>
      <c r="K32" s="3">
        <v>1</v>
      </c>
      <c r="L32" s="5">
        <f t="shared" ref="L32" si="20">I32*J32*K32/144</f>
        <v>60</v>
      </c>
      <c r="M32" s="5">
        <v>60</v>
      </c>
      <c r="N32" s="5">
        <f t="shared" ref="N32" si="21">L32*M32</f>
        <v>3600</v>
      </c>
      <c r="O32" s="5">
        <f t="shared" ref="O32" si="22">N32*18/100</f>
        <v>648</v>
      </c>
      <c r="P32" s="5">
        <f t="shared" ref="P32" si="23">N32+O32</f>
        <v>4248</v>
      </c>
      <c r="Q32" s="3" t="s">
        <v>113</v>
      </c>
    </row>
    <row r="33" spans="1:17" ht="25" x14ac:dyDescent="0.2">
      <c r="A33" s="3">
        <v>32</v>
      </c>
      <c r="B33" s="4" t="s">
        <v>20</v>
      </c>
      <c r="C33" s="4" t="s">
        <v>104</v>
      </c>
      <c r="D33" s="3" t="s">
        <v>22</v>
      </c>
      <c r="E33" s="4">
        <v>9810006355</v>
      </c>
      <c r="F33" s="4" t="s">
        <v>95</v>
      </c>
      <c r="G33" s="4" t="s">
        <v>23</v>
      </c>
      <c r="H33" s="4" t="s">
        <v>16</v>
      </c>
      <c r="I33" s="3">
        <v>240</v>
      </c>
      <c r="J33" s="3">
        <v>48</v>
      </c>
      <c r="K33" s="3">
        <v>1</v>
      </c>
      <c r="L33" s="5">
        <f t="shared" si="0"/>
        <v>80</v>
      </c>
      <c r="M33" s="5">
        <v>175</v>
      </c>
      <c r="N33" s="5">
        <f t="shared" si="1"/>
        <v>14000</v>
      </c>
      <c r="O33" s="5">
        <f t="shared" si="2"/>
        <v>2520</v>
      </c>
      <c r="P33" s="5">
        <f t="shared" si="3"/>
        <v>16520</v>
      </c>
      <c r="Q33" s="3" t="s">
        <v>113</v>
      </c>
    </row>
    <row r="34" spans="1:17" ht="25" x14ac:dyDescent="0.2">
      <c r="A34" s="3">
        <v>33</v>
      </c>
      <c r="B34" s="4" t="s">
        <v>20</v>
      </c>
      <c r="C34" s="4" t="s">
        <v>104</v>
      </c>
      <c r="D34" s="3" t="s">
        <v>108</v>
      </c>
      <c r="E34" s="4">
        <v>9911008856</v>
      </c>
      <c r="F34" s="4" t="s">
        <v>94</v>
      </c>
      <c r="G34" s="4" t="s">
        <v>21</v>
      </c>
      <c r="H34" s="4" t="s">
        <v>9</v>
      </c>
      <c r="I34" s="3">
        <v>240</v>
      </c>
      <c r="J34" s="3">
        <v>72</v>
      </c>
      <c r="K34" s="3">
        <v>2</v>
      </c>
      <c r="L34" s="5">
        <f t="shared" si="0"/>
        <v>240</v>
      </c>
      <c r="M34" s="5">
        <v>42</v>
      </c>
      <c r="N34" s="5">
        <f t="shared" si="1"/>
        <v>10080</v>
      </c>
      <c r="O34" s="5">
        <f t="shared" si="2"/>
        <v>1814.4</v>
      </c>
      <c r="P34" s="5">
        <f t="shared" si="3"/>
        <v>11894.4</v>
      </c>
      <c r="Q34" s="3" t="s">
        <v>113</v>
      </c>
    </row>
    <row r="35" spans="1:17" ht="25" x14ac:dyDescent="0.2">
      <c r="A35" s="3">
        <v>34</v>
      </c>
      <c r="B35" s="4" t="s">
        <v>20</v>
      </c>
      <c r="C35" s="4" t="s">
        <v>104</v>
      </c>
      <c r="D35" s="3" t="s">
        <v>108</v>
      </c>
      <c r="E35" s="4">
        <v>9911008856</v>
      </c>
      <c r="F35" s="4" t="s">
        <v>94</v>
      </c>
      <c r="G35" s="4" t="s">
        <v>21</v>
      </c>
      <c r="H35" s="4" t="s">
        <v>16</v>
      </c>
      <c r="I35" s="3">
        <v>240</v>
      </c>
      <c r="J35" s="3">
        <v>60</v>
      </c>
      <c r="K35" s="3">
        <v>1</v>
      </c>
      <c r="L35" s="5">
        <f t="shared" si="0"/>
        <v>100</v>
      </c>
      <c r="M35" s="5">
        <v>175</v>
      </c>
      <c r="N35" s="5">
        <f t="shared" si="1"/>
        <v>17500</v>
      </c>
      <c r="O35" s="5">
        <f t="shared" si="2"/>
        <v>3150</v>
      </c>
      <c r="P35" s="5">
        <f t="shared" si="3"/>
        <v>20650</v>
      </c>
      <c r="Q35" s="3" t="s">
        <v>113</v>
      </c>
    </row>
    <row r="36" spans="1:17" ht="25" x14ac:dyDescent="0.2">
      <c r="A36" s="3">
        <v>35</v>
      </c>
      <c r="B36" s="4" t="s">
        <v>20</v>
      </c>
      <c r="C36" s="4" t="s">
        <v>104</v>
      </c>
      <c r="D36" s="3" t="s">
        <v>24</v>
      </c>
      <c r="E36" s="4">
        <v>9999229130</v>
      </c>
      <c r="F36" s="4" t="s">
        <v>96</v>
      </c>
      <c r="G36" s="4" t="s">
        <v>25</v>
      </c>
      <c r="H36" s="4" t="s">
        <v>9</v>
      </c>
      <c r="I36" s="3">
        <v>356</v>
      </c>
      <c r="J36" s="3">
        <v>84</v>
      </c>
      <c r="K36" s="3">
        <v>1</v>
      </c>
      <c r="L36" s="5">
        <f t="shared" si="0"/>
        <v>207.66666666666666</v>
      </c>
      <c r="M36" s="5">
        <v>42</v>
      </c>
      <c r="N36" s="5">
        <f t="shared" si="1"/>
        <v>8722</v>
      </c>
      <c r="O36" s="5">
        <f t="shared" si="2"/>
        <v>1569.96</v>
      </c>
      <c r="P36" s="5">
        <f t="shared" si="3"/>
        <v>10291.959999999999</v>
      </c>
      <c r="Q36" s="3" t="s">
        <v>113</v>
      </c>
    </row>
    <row r="37" spans="1:17" ht="25" x14ac:dyDescent="0.2">
      <c r="A37" s="3">
        <v>36</v>
      </c>
      <c r="B37" s="4" t="s">
        <v>20</v>
      </c>
      <c r="C37" s="4" t="s">
        <v>104</v>
      </c>
      <c r="D37" s="3" t="s">
        <v>24</v>
      </c>
      <c r="E37" s="4">
        <v>9999229130</v>
      </c>
      <c r="F37" s="4" t="s">
        <v>96</v>
      </c>
      <c r="G37" s="4" t="s">
        <v>25</v>
      </c>
      <c r="H37" s="4" t="s">
        <v>16</v>
      </c>
      <c r="I37" s="3">
        <v>288</v>
      </c>
      <c r="J37" s="3">
        <v>60</v>
      </c>
      <c r="K37" s="3">
        <v>1</v>
      </c>
      <c r="L37" s="5">
        <f t="shared" si="0"/>
        <v>120</v>
      </c>
      <c r="M37" s="5">
        <v>175</v>
      </c>
      <c r="N37" s="5">
        <f t="shared" si="1"/>
        <v>21000</v>
      </c>
      <c r="O37" s="5">
        <f t="shared" si="2"/>
        <v>3780</v>
      </c>
      <c r="P37" s="5">
        <f t="shared" si="3"/>
        <v>24780</v>
      </c>
      <c r="Q37" s="3" t="s">
        <v>113</v>
      </c>
    </row>
    <row r="38" spans="1:17" ht="25" x14ac:dyDescent="0.2">
      <c r="A38" s="3">
        <v>37</v>
      </c>
      <c r="B38" s="4" t="s">
        <v>115</v>
      </c>
      <c r="C38" s="4" t="s">
        <v>104</v>
      </c>
      <c r="D38" s="3" t="s">
        <v>114</v>
      </c>
      <c r="E38" s="4">
        <v>9812024665</v>
      </c>
      <c r="F38" s="8" t="s">
        <v>116</v>
      </c>
      <c r="G38" s="8"/>
      <c r="H38" s="8" t="s">
        <v>16</v>
      </c>
      <c r="I38" s="8">
        <v>312</v>
      </c>
      <c r="J38" s="8">
        <v>96</v>
      </c>
      <c r="K38" s="8">
        <v>1</v>
      </c>
      <c r="L38" s="5">
        <f t="shared" si="0"/>
        <v>208</v>
      </c>
      <c r="M38" s="5">
        <v>175</v>
      </c>
      <c r="N38" s="5">
        <f t="shared" si="1"/>
        <v>36400</v>
      </c>
      <c r="O38" s="5">
        <f t="shared" si="2"/>
        <v>6552</v>
      </c>
      <c r="P38" s="5">
        <f t="shared" si="3"/>
        <v>42952</v>
      </c>
      <c r="Q38" s="3" t="s">
        <v>113</v>
      </c>
    </row>
    <row r="39" spans="1:17" ht="25" x14ac:dyDescent="0.2">
      <c r="A39" s="3">
        <v>38</v>
      </c>
      <c r="B39" s="4" t="s">
        <v>115</v>
      </c>
      <c r="C39" s="4" t="s">
        <v>104</v>
      </c>
      <c r="D39" s="3" t="s">
        <v>114</v>
      </c>
      <c r="E39" s="4">
        <v>9812024665</v>
      </c>
      <c r="F39" s="8" t="s">
        <v>116</v>
      </c>
      <c r="G39" s="8"/>
      <c r="H39" s="8" t="s">
        <v>117</v>
      </c>
      <c r="I39" s="8">
        <v>312</v>
      </c>
      <c r="J39" s="8">
        <v>24</v>
      </c>
      <c r="K39" s="8">
        <v>1</v>
      </c>
      <c r="L39" s="5">
        <f t="shared" ref="L39" si="24">I39*J39*K39/144</f>
        <v>52</v>
      </c>
      <c r="M39" s="5">
        <v>60</v>
      </c>
      <c r="N39" s="5">
        <f t="shared" ref="N39" si="25">L39*M39</f>
        <v>3120</v>
      </c>
      <c r="O39" s="5">
        <f t="shared" ref="O39" si="26">N39*18/100</f>
        <v>561.6</v>
      </c>
      <c r="P39" s="5">
        <f t="shared" ref="P39" si="27">N39+O39</f>
        <v>3681.6</v>
      </c>
      <c r="Q39" s="3" t="s">
        <v>113</v>
      </c>
    </row>
    <row r="40" spans="1:17" ht="37" x14ac:dyDescent="0.2">
      <c r="A40" s="3">
        <v>39</v>
      </c>
      <c r="B40" s="4" t="s">
        <v>40</v>
      </c>
      <c r="C40" s="4" t="s">
        <v>41</v>
      </c>
      <c r="D40" s="3" t="s">
        <v>106</v>
      </c>
      <c r="E40" s="4">
        <v>9810749829</v>
      </c>
      <c r="F40" s="4" t="s">
        <v>45</v>
      </c>
      <c r="G40" s="4" t="s">
        <v>46</v>
      </c>
      <c r="H40" s="4" t="s">
        <v>16</v>
      </c>
      <c r="I40" s="3">
        <v>204</v>
      </c>
      <c r="J40" s="3">
        <v>48</v>
      </c>
      <c r="K40" s="3">
        <v>1</v>
      </c>
      <c r="L40" s="5">
        <f t="shared" si="0"/>
        <v>68</v>
      </c>
      <c r="M40" s="5">
        <v>175</v>
      </c>
      <c r="N40" s="5">
        <f t="shared" si="1"/>
        <v>11900</v>
      </c>
      <c r="O40" s="5">
        <f t="shared" si="2"/>
        <v>2142</v>
      </c>
      <c r="P40" s="5">
        <f t="shared" si="3"/>
        <v>14042</v>
      </c>
      <c r="Q40" s="3" t="s">
        <v>113</v>
      </c>
    </row>
    <row r="41" spans="1:17" ht="25" x14ac:dyDescent="0.2">
      <c r="A41" s="3">
        <v>40</v>
      </c>
      <c r="B41" s="4" t="s">
        <v>40</v>
      </c>
      <c r="C41" s="4" t="s">
        <v>41</v>
      </c>
      <c r="D41" s="3" t="s">
        <v>42</v>
      </c>
      <c r="E41" s="4">
        <v>9718982222</v>
      </c>
      <c r="F41" s="4" t="s">
        <v>43</v>
      </c>
      <c r="G41" s="4" t="s">
        <v>44</v>
      </c>
      <c r="H41" s="4" t="s">
        <v>16</v>
      </c>
      <c r="I41" s="3">
        <v>276</v>
      </c>
      <c r="J41" s="3">
        <v>48</v>
      </c>
      <c r="K41" s="3">
        <v>1</v>
      </c>
      <c r="L41" s="5">
        <f t="shared" si="0"/>
        <v>92</v>
      </c>
      <c r="M41" s="5">
        <v>175</v>
      </c>
      <c r="N41" s="5">
        <f t="shared" si="1"/>
        <v>16100</v>
      </c>
      <c r="O41" s="5">
        <f t="shared" si="2"/>
        <v>2898</v>
      </c>
      <c r="P41" s="5">
        <f t="shared" si="3"/>
        <v>18998</v>
      </c>
      <c r="Q41" s="3" t="s">
        <v>113</v>
      </c>
    </row>
    <row r="42" spans="1:17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1">
        <f>SUM(N2:N41)</f>
        <v>501724</v>
      </c>
      <c r="O42" s="11">
        <f>SUM(O2:O41)</f>
        <v>90310.32</v>
      </c>
      <c r="P42" s="11">
        <f>SUM(P2:P41)</f>
        <v>592034.31999999995</v>
      </c>
      <c r="Q42" s="10"/>
    </row>
  </sheetData>
  <autoFilter ref="A1:Q42" xr:uid="{76AAF8C2-7C83-2745-AF62-BF33000C6F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BHANDARI</dc:creator>
  <cp:lastModifiedBy>Akhil Singh</cp:lastModifiedBy>
  <cp:lastPrinted>2025-05-20T09:30:28Z</cp:lastPrinted>
  <dcterms:created xsi:type="dcterms:W3CDTF">2025-05-19T07:12:44Z</dcterms:created>
  <dcterms:modified xsi:type="dcterms:W3CDTF">2025-06-30T11:35:42Z</dcterms:modified>
</cp:coreProperties>
</file>