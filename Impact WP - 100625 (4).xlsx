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/>
  <mc:AlternateContent xmlns:mc="http://schemas.openxmlformats.org/markup-compatibility/2006">
    <mc:Choice Requires="x15">
      <x15ac:absPath xmlns:x15ac="http://schemas.microsoft.com/office/spreadsheetml/2010/11/ac" url="/Users/aa/Desktop/Desktop/General/JSW/Apr-Jun-25/Billing/100225/"/>
    </mc:Choice>
  </mc:AlternateContent>
  <xr:revisionPtr revIDLastSave="0" documentId="13_ncr:1_{82960F6A-8C47-0747-843E-8B0ABF8E60EE}" xr6:coauthVersionLast="47" xr6:coauthVersionMax="47" xr10:uidLastSave="{00000000-0000-0000-0000-000000000000}"/>
  <bookViews>
    <workbookView xWindow="140" yWindow="660" windowWidth="28480" windowHeight="15920" tabRatio="500" xr2:uid="{00000000-000D-0000-FFFF-FFFF00000000}"/>
  </bookViews>
  <sheets>
    <sheet name="HR" sheetId="2" r:id="rId1"/>
    <sheet name="Ghaziaba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3" i="3" l="1"/>
  <c r="Q7" i="3"/>
  <c r="Q6" i="3"/>
  <c r="Q5" i="3"/>
  <c r="Q4" i="3"/>
  <c r="Q3" i="3"/>
  <c r="Q13" i="3" s="1"/>
  <c r="P15" i="2"/>
  <c r="Q10" i="2"/>
  <c r="Q9" i="2"/>
  <c r="Q8" i="2"/>
  <c r="Q7" i="2"/>
  <c r="Q6" i="2"/>
  <c r="Q5" i="2"/>
  <c r="Q4" i="2"/>
  <c r="Q3" i="2"/>
  <c r="Q15" i="2" s="1"/>
</calcChain>
</file>

<file path=xl/sharedStrings.xml><?xml version="1.0" encoding="utf-8"?>
<sst xmlns="http://schemas.openxmlformats.org/spreadsheetml/2006/main" count="177" uniqueCount="67">
  <si>
    <t>HARYANA IMPACT</t>
  </si>
  <si>
    <t>Size</t>
  </si>
  <si>
    <t>S.No</t>
  </si>
  <si>
    <t>Region</t>
  </si>
  <si>
    <t>Painting Type</t>
  </si>
  <si>
    <t>State</t>
  </si>
  <si>
    <t>City</t>
  </si>
  <si>
    <t>Location</t>
  </si>
  <si>
    <t>Site name</t>
  </si>
  <si>
    <t>Status</t>
  </si>
  <si>
    <t>Latitude</t>
  </si>
  <si>
    <t>Longitude</t>
  </si>
  <si>
    <t>Wall/Shop Number (Vendor Initials_wall No._DD/MM/YY)</t>
  </si>
  <si>
    <t>Wall Tenure (in months)</t>
  </si>
  <si>
    <t>Rented/
Free Wall</t>
  </si>
  <si>
    <t>Execution Date</t>
  </si>
  <si>
    <t>Comment/Remarks</t>
  </si>
  <si>
    <t>Planned SQFT</t>
  </si>
  <si>
    <t>Actual Sq ft</t>
  </si>
  <si>
    <t>W</t>
  </si>
  <si>
    <t>H</t>
  </si>
  <si>
    <t>North</t>
  </si>
  <si>
    <t>IMPACT</t>
  </si>
  <si>
    <t>HR</t>
  </si>
  <si>
    <t>Sonipat</t>
  </si>
  <si>
    <t>Gohana, Sonipat – Haryana</t>
  </si>
  <si>
    <t>Haryana</t>
  </si>
  <si>
    <t>OK</t>
  </si>
  <si>
    <t>BRANDHUT- 01</t>
  </si>
  <si>
    <t>Rented Wall</t>
  </si>
  <si>
    <t>17-05-2025</t>
  </si>
  <si>
    <t>82953 57772</t>
  </si>
  <si>
    <t>Rohtak</t>
  </si>
  <si>
    <t>Sampla, Rohtak – Haryana</t>
  </si>
  <si>
    <t>BRANDHUT- 02</t>
  </si>
  <si>
    <t>19-05-2025</t>
  </si>
  <si>
    <t>97176 47156</t>
  </si>
  <si>
    <t>BRANDHUT- 03</t>
  </si>
  <si>
    <t>98135 81406</t>
  </si>
  <si>
    <t>BRANDHUT- 04</t>
  </si>
  <si>
    <t>09-05-2025</t>
  </si>
  <si>
    <t>Total</t>
  </si>
  <si>
    <t>10-06-2025</t>
  </si>
  <si>
    <t>Subhash Rd, Company Bagh, Rohtak – Haryana</t>
  </si>
  <si>
    <t>Near Dalal &amp; Sons Kalluram  Dharmsala, Kharkhoda, Sonipat</t>
  </si>
  <si>
    <t>BRANDHUT- 05</t>
  </si>
  <si>
    <t>Patel Nagar, Jindal City Road – Sonipat</t>
  </si>
  <si>
    <t>BRANDHUT- 06</t>
  </si>
  <si>
    <t>Bahalgarh, Sonipat – Haryana</t>
  </si>
  <si>
    <t>BRANDHUT- 07</t>
  </si>
  <si>
    <t>11-06-2025</t>
  </si>
  <si>
    <t>Grand Trunk Rd, Bahalgarh, Sonipat – Haryana</t>
  </si>
  <si>
    <t>BRANDHUT- 08</t>
  </si>
  <si>
    <t>14-06-2025</t>
  </si>
  <si>
    <t xml:space="preserve"> </t>
  </si>
  <si>
    <t>Uttar Pradesh IMPACT</t>
  </si>
  <si>
    <t>UP</t>
  </si>
  <si>
    <t>Ghaziabad</t>
  </si>
  <si>
    <t>Delhi – Meerut Exp Way, Budh Vihar,
 Limra Hospital  Ghaziabad</t>
  </si>
  <si>
    <t>Uttar Pradesh</t>
  </si>
  <si>
    <t>98114 84481</t>
  </si>
  <si>
    <t>Delhi – Meerut Exp Way,Bahrampur,
 Mayank Hotel  Ghaziabad</t>
  </si>
  <si>
    <t>84454 15093</t>
  </si>
  <si>
    <t>Near Palwal Extension, Ghaziabad</t>
  </si>
  <si>
    <t>90502 69695</t>
  </si>
  <si>
    <t>Masuri, Azadd Car Garage, Ghaziabad</t>
  </si>
  <si>
    <t>93132 14900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</si>
</sst>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s.-4009]#,##0.00;[Red]\-[$Rs.-4009]#,##0.00"/>
    <numFmt numFmtId="165" formatCode="[$-4009]General"/>
    <numFmt numFmtId="166" formatCode="dd\-mm\-yy"/>
  </numFmts>
  <fonts count="11" x14ac:knownFonts="1">
    <font>
      <sz val="11"/>
      <color rgb="FF000000"/>
      <name val="Arial"/>
      <family val="2"/>
      <charset val="1"/>
    </font>
    <font>
      <sz val="11"/>
      <color rgb="FFCC0000"/>
      <name val="Arial"/>
      <family val="2"/>
      <charset val="1"/>
    </font>
    <font>
      <b/>
      <i/>
      <sz val="16"/>
      <color rgb="FF000000"/>
      <name val="Arial"/>
      <family val="2"/>
      <charset val="1"/>
    </font>
    <font>
      <b/>
      <i/>
      <u/>
      <sz val="11"/>
      <color rgb="FF000000"/>
      <name val="Arial"/>
      <family val="2"/>
      <charset val="1"/>
    </font>
    <font>
      <b/>
      <sz val="15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FFFFFF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CCC"/>
        <bgColor rgb="FFFFE994"/>
      </patternFill>
    </fill>
    <fill>
      <patternFill patternType="solid">
        <fgColor rgb="FFFFE994"/>
        <bgColor rgb="FFFFFF66"/>
      </patternFill>
    </fill>
    <fill>
      <patternFill patternType="solid">
        <fgColor rgb="FFFFFF00"/>
        <bgColor rgb="FFFFFF00"/>
      </patternFill>
    </fill>
    <fill>
      <patternFill patternType="solid">
        <fgColor rgb="FFFFFF66"/>
        <bgColor rgb="FFFFFF00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7">
    <xf numFmtId="0" fontId="0" fillId="0" borderId="0"/>
    <xf numFmtId="0" fontId="1" fillId="2" borderId="0" applyBorder="0" applyProtection="0"/>
    <xf numFmtId="0" fontId="2" fillId="0" borderId="0" applyBorder="0" applyProtection="0">
      <alignment horizontal="center" textRotation="90"/>
    </xf>
    <xf numFmtId="0" fontId="2" fillId="0" borderId="0" applyBorder="0" applyProtection="0">
      <alignment horizontal="center"/>
    </xf>
    <xf numFmtId="0" fontId="3" fillId="0" borderId="0" applyBorder="0" applyProtection="0"/>
    <xf numFmtId="164" fontId="3" fillId="0" borderId="0" applyBorder="0" applyProtection="0"/>
    <xf numFmtId="165" fontId="5" fillId="0" borderId="0" applyBorder="0" applyProtection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6" applyFont="1" applyBorder="1" applyAlignment="1" applyProtection="1">
      <alignment horizontal="center" vertical="center"/>
    </xf>
    <xf numFmtId="165" fontId="9" fillId="0" borderId="1" xfId="6" applyFont="1" applyBorder="1" applyAlignment="1" applyProtection="1">
      <alignment horizontal="center" vertical="center"/>
    </xf>
    <xf numFmtId="165" fontId="5" fillId="0" borderId="1" xfId="6" applyBorder="1" applyAlignment="1" applyProtection="1">
      <alignment horizontal="center" vertical="center"/>
    </xf>
    <xf numFmtId="165" fontId="0" fillId="0" borderId="1" xfId="6" applyFont="1" applyBorder="1" applyProtection="1"/>
    <xf numFmtId="165" fontId="9" fillId="0" borderId="1" xfId="6" applyFont="1" applyBorder="1" applyProtection="1"/>
    <xf numFmtId="165" fontId="9" fillId="0" borderId="1" xfId="6" applyFont="1" applyBorder="1" applyAlignment="1" applyProtection="1">
      <alignment vertical="center"/>
    </xf>
    <xf numFmtId="165" fontId="9" fillId="0" borderId="1" xfId="6" applyFont="1" applyBorder="1" applyAlignment="1" applyProtection="1">
      <alignment horizontal="right" vertical="center"/>
    </xf>
    <xf numFmtId="0" fontId="9" fillId="0" borderId="1" xfId="6" applyNumberFormat="1" applyFont="1" applyBorder="1" applyAlignment="1" applyProtection="1">
      <alignment horizontal="right" vertical="center"/>
    </xf>
    <xf numFmtId="165" fontId="0" fillId="0" borderId="0" xfId="6" applyFont="1" applyBorder="1" applyAlignment="1" applyProtection="1">
      <alignment horizontal="center" vertical="center"/>
    </xf>
    <xf numFmtId="165" fontId="0" fillId="0" borderId="0" xfId="6" applyFont="1" applyBorder="1" applyProtection="1"/>
    <xf numFmtId="165" fontId="9" fillId="0" borderId="0" xfId="6" applyFont="1" applyBorder="1" applyProtection="1"/>
    <xf numFmtId="165" fontId="0" fillId="0" borderId="0" xfId="6" applyFont="1" applyBorder="1" applyAlignment="1" applyProtection="1">
      <alignment horizontal="right" vertical="center"/>
    </xf>
    <xf numFmtId="0" fontId="9" fillId="0" borderId="0" xfId="0" applyFont="1"/>
    <xf numFmtId="0" fontId="10" fillId="0" borderId="0" xfId="0" applyFont="1"/>
    <xf numFmtId="165" fontId="6" fillId="3" borderId="1" xfId="6" applyFont="1" applyFill="1" applyBorder="1" applyAlignment="1" applyProtection="1">
      <alignment horizontal="center"/>
    </xf>
    <xf numFmtId="165" fontId="7" fillId="3" borderId="1" xfId="6" applyFont="1" applyFill="1" applyBorder="1" applyAlignment="1" applyProtection="1">
      <alignment horizontal="center" vertical="center" wrapText="1"/>
    </xf>
    <xf numFmtId="165" fontId="8" fillId="3" borderId="1" xfId="6" applyFont="1" applyFill="1" applyBorder="1" applyAlignment="1" applyProtection="1">
      <alignment horizontal="center" vertical="center" wrapText="1"/>
    </xf>
    <xf numFmtId="165" fontId="6" fillId="5" borderId="1" xfId="6" applyFont="1" applyFill="1" applyBorder="1" applyAlignment="1" applyProtection="1">
      <alignment horizontal="center"/>
    </xf>
    <xf numFmtId="165" fontId="7" fillId="4" borderId="1" xfId="6" applyFont="1" applyFill="1" applyBorder="1" applyAlignment="1" applyProtection="1">
      <alignment horizontal="center" vertical="center" wrapText="1"/>
    </xf>
    <xf numFmtId="165" fontId="8" fillId="4" borderId="1" xfId="6" applyFont="1" applyFill="1" applyBorder="1" applyAlignment="1" applyProtection="1">
      <alignment horizontal="center" vertical="center" wrapText="1"/>
    </xf>
    <xf numFmtId="165" fontId="4" fillId="3" borderId="1" xfId="6" applyFont="1" applyFill="1" applyBorder="1" applyAlignment="1" applyProtection="1">
      <alignment horizontal="center"/>
    </xf>
    <xf numFmtId="165" fontId="6" fillId="3" borderId="1" xfId="6" applyFont="1" applyFill="1" applyBorder="1" applyAlignment="1" applyProtection="1">
      <alignment horizontal="center"/>
    </xf>
    <xf numFmtId="165" fontId="9" fillId="0" borderId="1" xfId="6" applyFont="1" applyBorder="1" applyAlignment="1" applyProtection="1">
      <alignment horizontal="center" vertical="center"/>
    </xf>
    <xf numFmtId="165" fontId="4" fillId="4" borderId="1" xfId="6" applyFont="1" applyFill="1" applyBorder="1" applyAlignment="1" applyProtection="1">
      <alignment horizontal="center"/>
    </xf>
    <xf numFmtId="165" fontId="6" fillId="5" borderId="1" xfId="6" applyFont="1" applyFill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</cellXfs>
  <cellStyles count="7">
    <cellStyle name="Bad 1" xfId="1" xr:uid="{00000000-0005-0000-0000-000000000000}"/>
    <cellStyle name="Excel Built-in Normal" xfId="6" xr:uid="{00000000-0005-0000-0000-000001000000}"/>
    <cellStyle name="Heading 1 2" xfId="2" xr:uid="{00000000-0005-0000-0000-000002000000}"/>
    <cellStyle name="Heading 3" xfId="3" xr:uid="{00000000-0005-0000-0000-000003000000}"/>
    <cellStyle name="Normal" xfId="0" builtinId="0"/>
    <cellStyle name="Result 4" xfId="4" xr:uid="{00000000-0005-0000-0000-000005000000}"/>
    <cellStyle name="Result2" xfId="5" xr:uid="{00000000-0005-0000-0000-000006000000}"/>
  </cellStyles>
  <dxfs count="0"/>
  <tableStyles count="0" defaultTableStyle="TableStyleMedium9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99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8576"/>
  <sheetViews>
    <sheetView tabSelected="1" topLeftCell="F1" zoomScale="92" zoomScaleNormal="92" workbookViewId="0">
      <selection activeCell="O14" sqref="O14"/>
    </sheetView>
  </sheetViews>
  <sheetFormatPr baseColWidth="10" defaultColWidth="8.6640625" defaultRowHeight="14.25" customHeight="1" x14ac:dyDescent="0.15"/>
  <cols>
    <col min="1" max="1" width="4.6640625" customWidth="1"/>
    <col min="2" max="2" width="6.5" customWidth="1"/>
    <col min="3" max="3" width="16" customWidth="1"/>
    <col min="4" max="4" width="10.5" customWidth="1"/>
    <col min="5" max="5" width="11.6640625" customWidth="1"/>
    <col min="6" max="6" width="50.6640625" bestFit="1" customWidth="1"/>
    <col min="7" max="7" width="14" customWidth="1"/>
    <col min="8" max="8" width="6.33203125" customWidth="1"/>
    <col min="9" max="10" width="11" customWidth="1"/>
    <col min="11" max="11" width="16.33203125" customWidth="1"/>
    <col min="12" max="12" width="10.5" customWidth="1"/>
    <col min="13" max="13" width="11.33203125" customWidth="1"/>
    <col min="14" max="14" width="10.33203125" customWidth="1"/>
    <col min="15" max="15" width="13.33203125" customWidth="1"/>
    <col min="16" max="16" width="7.6640625" customWidth="1"/>
    <col min="18" max="18" width="4.5" customWidth="1"/>
    <col min="19" max="19" width="4" customWidth="1"/>
  </cols>
  <sheetData>
    <row r="1" spans="1:19" ht="21.5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 t="s">
        <v>1</v>
      </c>
      <c r="S1" s="27"/>
    </row>
    <row r="2" spans="1:19" ht="39" x14ac:dyDescent="0.2">
      <c r="A2" s="21" t="s">
        <v>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11</v>
      </c>
      <c r="K2" s="22" t="s">
        <v>12</v>
      </c>
      <c r="L2" s="22" t="s">
        <v>13</v>
      </c>
      <c r="M2" s="22" t="s">
        <v>14</v>
      </c>
      <c r="N2" s="21" t="s">
        <v>15</v>
      </c>
      <c r="O2" s="21" t="s">
        <v>16</v>
      </c>
      <c r="P2" s="21" t="s">
        <v>17</v>
      </c>
      <c r="Q2" s="21" t="s">
        <v>18</v>
      </c>
      <c r="R2" s="20" t="s">
        <v>19</v>
      </c>
      <c r="S2" s="20" t="s">
        <v>20</v>
      </c>
    </row>
    <row r="3" spans="1:19" ht="15" x14ac:dyDescent="0.15">
      <c r="A3" s="1">
        <v>1</v>
      </c>
      <c r="B3" s="1" t="s">
        <v>21</v>
      </c>
      <c r="C3" s="2" t="s">
        <v>22</v>
      </c>
      <c r="D3" s="1" t="s">
        <v>23</v>
      </c>
      <c r="E3" s="1" t="s">
        <v>24</v>
      </c>
      <c r="F3" s="3" t="s">
        <v>25</v>
      </c>
      <c r="G3" s="1" t="s">
        <v>26</v>
      </c>
      <c r="H3" s="1" t="s">
        <v>27</v>
      </c>
      <c r="I3" s="1">
        <v>29.133274</v>
      </c>
      <c r="J3" s="1">
        <v>76.713564000000005</v>
      </c>
      <c r="K3" s="1" t="s">
        <v>28</v>
      </c>
      <c r="L3" s="1"/>
      <c r="M3" s="1" t="s">
        <v>29</v>
      </c>
      <c r="N3" s="4" t="s">
        <v>30</v>
      </c>
      <c r="O3" s="1" t="s">
        <v>31</v>
      </c>
      <c r="P3" s="1"/>
      <c r="Q3" s="1">
        <f t="shared" ref="Q3:Q10" si="0">R3*S3</f>
        <v>6405</v>
      </c>
      <c r="R3" s="5">
        <v>183</v>
      </c>
      <c r="S3" s="5">
        <v>35</v>
      </c>
    </row>
    <row r="4" spans="1:19" ht="15" x14ac:dyDescent="0.15">
      <c r="A4" s="1">
        <v>2</v>
      </c>
      <c r="B4" s="1" t="s">
        <v>21</v>
      </c>
      <c r="C4" s="2" t="s">
        <v>22</v>
      </c>
      <c r="D4" s="1" t="s">
        <v>23</v>
      </c>
      <c r="E4" s="1" t="s">
        <v>32</v>
      </c>
      <c r="F4" s="3" t="s">
        <v>33</v>
      </c>
      <c r="G4" s="1" t="s">
        <v>26</v>
      </c>
      <c r="H4" s="1" t="s">
        <v>27</v>
      </c>
      <c r="I4" s="1">
        <v>28.767759999999999</v>
      </c>
      <c r="J4" s="1">
        <v>77.778509</v>
      </c>
      <c r="K4" s="1" t="s">
        <v>34</v>
      </c>
      <c r="L4" s="1"/>
      <c r="M4" s="1" t="s">
        <v>29</v>
      </c>
      <c r="N4" s="4" t="s">
        <v>35</v>
      </c>
      <c r="O4" s="1" t="s">
        <v>36</v>
      </c>
      <c r="P4" s="1"/>
      <c r="Q4" s="1">
        <f t="shared" si="0"/>
        <v>5928</v>
      </c>
      <c r="R4" s="5">
        <v>114</v>
      </c>
      <c r="S4" s="5">
        <v>52</v>
      </c>
    </row>
    <row r="5" spans="1:19" ht="15" x14ac:dyDescent="0.15">
      <c r="A5" s="1">
        <v>3</v>
      </c>
      <c r="B5" s="1" t="s">
        <v>21</v>
      </c>
      <c r="C5" s="2" t="s">
        <v>22</v>
      </c>
      <c r="D5" s="1" t="s">
        <v>23</v>
      </c>
      <c r="E5" s="1" t="s">
        <v>32</v>
      </c>
      <c r="F5" s="3" t="s">
        <v>33</v>
      </c>
      <c r="G5" s="1" t="s">
        <v>26</v>
      </c>
      <c r="H5" s="1" t="s">
        <v>27</v>
      </c>
      <c r="I5" s="1">
        <v>28.771616999999999</v>
      </c>
      <c r="J5" s="1">
        <v>76.774242000000001</v>
      </c>
      <c r="K5" s="1" t="s">
        <v>37</v>
      </c>
      <c r="L5" s="1"/>
      <c r="M5" s="1" t="s">
        <v>29</v>
      </c>
      <c r="N5" s="4" t="s">
        <v>42</v>
      </c>
      <c r="O5" s="1" t="s">
        <v>38</v>
      </c>
      <c r="P5" s="1"/>
      <c r="Q5" s="1">
        <f t="shared" si="0"/>
        <v>6435</v>
      </c>
      <c r="R5" s="5">
        <v>165</v>
      </c>
      <c r="S5" s="5">
        <v>39</v>
      </c>
    </row>
    <row r="6" spans="1:19" ht="14.25" customHeight="1" x14ac:dyDescent="0.15">
      <c r="A6" s="1">
        <v>4</v>
      </c>
      <c r="B6" s="1" t="s">
        <v>21</v>
      </c>
      <c r="C6" s="2" t="s">
        <v>22</v>
      </c>
      <c r="D6" s="1" t="s">
        <v>23</v>
      </c>
      <c r="E6" s="1" t="s">
        <v>32</v>
      </c>
      <c r="F6" s="3" t="s">
        <v>43</v>
      </c>
      <c r="G6" s="1" t="s">
        <v>26</v>
      </c>
      <c r="H6" s="1" t="s">
        <v>27</v>
      </c>
      <c r="I6" s="1">
        <v>28.899332000000001</v>
      </c>
      <c r="J6" s="1">
        <v>76.586125999999993</v>
      </c>
      <c r="K6" s="1" t="s">
        <v>39</v>
      </c>
      <c r="L6" s="1"/>
      <c r="M6" s="1" t="s">
        <v>29</v>
      </c>
      <c r="N6" s="4" t="s">
        <v>40</v>
      </c>
      <c r="O6" s="1">
        <v>6397213668</v>
      </c>
      <c r="P6" s="1"/>
      <c r="Q6" s="1">
        <f t="shared" si="0"/>
        <v>5290</v>
      </c>
      <c r="R6" s="5">
        <v>115</v>
      </c>
      <c r="S6" s="5">
        <v>46</v>
      </c>
    </row>
    <row r="7" spans="1:19" ht="14.25" customHeight="1" x14ac:dyDescent="0.15">
      <c r="A7" s="1">
        <v>5</v>
      </c>
      <c r="B7" s="1" t="s">
        <v>21</v>
      </c>
      <c r="C7" s="2" t="s">
        <v>22</v>
      </c>
      <c r="D7" s="1" t="s">
        <v>23</v>
      </c>
      <c r="E7" s="1" t="s">
        <v>24</v>
      </c>
      <c r="F7" s="1" t="s">
        <v>44</v>
      </c>
      <c r="G7" s="1" t="s">
        <v>26</v>
      </c>
      <c r="H7" s="1" t="s">
        <v>27</v>
      </c>
      <c r="I7" s="1">
        <v>28.877295</v>
      </c>
      <c r="J7" s="1">
        <v>76.922953000000007</v>
      </c>
      <c r="K7" s="1" t="s">
        <v>45</v>
      </c>
      <c r="L7" s="1"/>
      <c r="M7" s="1" t="s">
        <v>29</v>
      </c>
      <c r="N7" s="4" t="s">
        <v>42</v>
      </c>
      <c r="O7" s="1">
        <v>7027295540</v>
      </c>
      <c r="P7" s="1"/>
      <c r="Q7" s="1">
        <f t="shared" si="0"/>
        <v>2970</v>
      </c>
      <c r="R7" s="5">
        <v>90</v>
      </c>
      <c r="S7" s="5">
        <v>33</v>
      </c>
    </row>
    <row r="8" spans="1:19" ht="14.25" customHeight="1" x14ac:dyDescent="0.15">
      <c r="A8" s="1">
        <v>6</v>
      </c>
      <c r="B8" s="1" t="s">
        <v>21</v>
      </c>
      <c r="C8" s="2" t="s">
        <v>22</v>
      </c>
      <c r="D8" s="1" t="s">
        <v>23</v>
      </c>
      <c r="E8" s="1" t="s">
        <v>24</v>
      </c>
      <c r="F8" s="1" t="s">
        <v>46</v>
      </c>
      <c r="G8" s="1" t="s">
        <v>26</v>
      </c>
      <c r="H8" s="1" t="s">
        <v>27</v>
      </c>
      <c r="I8" s="1">
        <v>28.960622000000001</v>
      </c>
      <c r="J8" s="1">
        <v>77.037571999999997</v>
      </c>
      <c r="K8" s="1" t="s">
        <v>47</v>
      </c>
      <c r="L8" s="1"/>
      <c r="M8" s="1" t="s">
        <v>29</v>
      </c>
      <c r="N8" s="4" t="s">
        <v>42</v>
      </c>
      <c r="O8" s="1">
        <v>9812712385</v>
      </c>
      <c r="P8" s="1"/>
      <c r="Q8" s="1">
        <f t="shared" si="0"/>
        <v>4620</v>
      </c>
      <c r="R8" s="5">
        <v>110</v>
      </c>
      <c r="S8" s="5">
        <v>42</v>
      </c>
    </row>
    <row r="9" spans="1:19" ht="14.25" customHeight="1" x14ac:dyDescent="0.15">
      <c r="A9" s="1">
        <v>7</v>
      </c>
      <c r="B9" s="1" t="s">
        <v>21</v>
      </c>
      <c r="C9" s="2" t="s">
        <v>22</v>
      </c>
      <c r="D9" s="1" t="s">
        <v>23</v>
      </c>
      <c r="E9" s="1" t="s">
        <v>24</v>
      </c>
      <c r="F9" s="1" t="s">
        <v>48</v>
      </c>
      <c r="G9" s="1" t="s">
        <v>26</v>
      </c>
      <c r="H9" s="1" t="s">
        <v>27</v>
      </c>
      <c r="I9" s="1">
        <v>28.966566</v>
      </c>
      <c r="J9" s="1">
        <v>77.090711999999996</v>
      </c>
      <c r="K9" s="1" t="s">
        <v>49</v>
      </c>
      <c r="L9" s="1"/>
      <c r="M9" s="1" t="s">
        <v>29</v>
      </c>
      <c r="N9" s="4" t="s">
        <v>50</v>
      </c>
      <c r="O9" s="1">
        <v>9050175199</v>
      </c>
      <c r="P9" s="1"/>
      <c r="Q9" s="1">
        <f t="shared" si="0"/>
        <v>6223</v>
      </c>
      <c r="R9" s="5">
        <v>127</v>
      </c>
      <c r="S9" s="5">
        <v>49</v>
      </c>
    </row>
    <row r="10" spans="1:19" ht="14.25" customHeight="1" x14ac:dyDescent="0.15">
      <c r="A10" s="1">
        <v>8</v>
      </c>
      <c r="B10" s="1" t="s">
        <v>21</v>
      </c>
      <c r="C10" s="2" t="s">
        <v>22</v>
      </c>
      <c r="D10" s="1" t="s">
        <v>23</v>
      </c>
      <c r="E10" s="1" t="s">
        <v>24</v>
      </c>
      <c r="F10" s="1" t="s">
        <v>51</v>
      </c>
      <c r="G10" s="1" t="s">
        <v>26</v>
      </c>
      <c r="H10" s="1" t="s">
        <v>27</v>
      </c>
      <c r="I10" s="1">
        <v>28.964466000000002</v>
      </c>
      <c r="J10" s="1">
        <v>77.091453999999999</v>
      </c>
      <c r="K10" s="1" t="s">
        <v>52</v>
      </c>
      <c r="L10" s="1"/>
      <c r="M10" s="1" t="s">
        <v>29</v>
      </c>
      <c r="N10" s="4" t="s">
        <v>53</v>
      </c>
      <c r="O10" s="1">
        <v>9306415766</v>
      </c>
      <c r="P10" s="1"/>
      <c r="Q10" s="1">
        <f t="shared" si="0"/>
        <v>6300</v>
      </c>
      <c r="R10" s="5">
        <v>180</v>
      </c>
      <c r="S10" s="5">
        <v>35</v>
      </c>
    </row>
    <row r="11" spans="1:19" ht="14.25" customHeight="1" x14ac:dyDescent="0.1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4"/>
      <c r="O11" s="1"/>
      <c r="P11" s="1"/>
      <c r="Q11" s="1"/>
      <c r="R11" s="5"/>
      <c r="S11" s="5"/>
    </row>
    <row r="12" spans="1:19" ht="14.25" customHeight="1" x14ac:dyDescent="0.15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4"/>
      <c r="O12" s="1"/>
      <c r="P12" s="1"/>
      <c r="Q12" s="1"/>
      <c r="R12" s="5"/>
      <c r="S12" s="5"/>
    </row>
    <row r="13" spans="1:19" ht="15" x14ac:dyDescent="0.15">
      <c r="A13" s="6"/>
      <c r="B13" s="6"/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"/>
      <c r="Q13" s="8"/>
      <c r="R13" s="9"/>
      <c r="S13" s="9"/>
    </row>
    <row r="14" spans="1:19" ht="14.25" customHeight="1" x14ac:dyDescent="0.15">
      <c r="A14" s="6"/>
      <c r="B14" s="6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"/>
      <c r="Q14" s="8"/>
      <c r="R14" s="9"/>
      <c r="S14" s="9"/>
    </row>
    <row r="15" spans="1:19" ht="14" x14ac:dyDescent="0.15">
      <c r="A15" s="6"/>
      <c r="B15" s="9"/>
      <c r="C15" s="10"/>
      <c r="D15" s="9"/>
      <c r="E15" s="9"/>
      <c r="F15" s="9"/>
      <c r="G15" s="9"/>
      <c r="H15" s="9"/>
      <c r="I15" s="9"/>
      <c r="J15" s="28" t="s">
        <v>41</v>
      </c>
      <c r="K15" s="28"/>
      <c r="L15" s="28"/>
      <c r="M15" s="11"/>
      <c r="N15" s="12"/>
      <c r="O15" s="11"/>
      <c r="P15" s="11">
        <f>SUM(P3:P13)</f>
        <v>0</v>
      </c>
      <c r="Q15" s="13">
        <f>SUM(Q3:Q13)</f>
        <v>44171</v>
      </c>
      <c r="R15" s="11"/>
      <c r="S15" s="11"/>
    </row>
    <row r="16" spans="1:19" ht="14.25" customHeight="1" x14ac:dyDescent="0.15">
      <c r="A16" s="14"/>
      <c r="B16" s="15"/>
      <c r="C16" s="16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7"/>
      <c r="O16" s="15"/>
      <c r="P16" s="15"/>
      <c r="Q16" s="15" t="s">
        <v>54</v>
      </c>
      <c r="R16" s="15"/>
      <c r="S16" s="15"/>
    </row>
    <row r="17" spans="3:3" ht="14.25" customHeight="1" x14ac:dyDescent="0.15">
      <c r="C17" s="18"/>
    </row>
    <row r="18" spans="3:3" ht="14.25" customHeight="1" x14ac:dyDescent="0.15">
      <c r="C18" s="18"/>
    </row>
    <row r="19" spans="3:3" ht="14" x14ac:dyDescent="0.15">
      <c r="C19" s="18"/>
    </row>
    <row r="20" spans="3:3" ht="14" x14ac:dyDescent="0.15">
      <c r="C20" s="18"/>
    </row>
    <row r="21" spans="3:3" ht="14" x14ac:dyDescent="0.15">
      <c r="C21" s="18"/>
    </row>
    <row r="22" spans="3:3" ht="14" x14ac:dyDescent="0.15">
      <c r="C22" s="18"/>
    </row>
    <row r="23" spans="3:3" ht="14" x14ac:dyDescent="0.15">
      <c r="C23" s="18"/>
    </row>
    <row r="24" spans="3:3" ht="14" x14ac:dyDescent="0.15">
      <c r="C24" s="18"/>
    </row>
    <row r="25" spans="3:3" ht="14" x14ac:dyDescent="0.15">
      <c r="C25" s="18"/>
    </row>
    <row r="26" spans="3:3" ht="14" x14ac:dyDescent="0.15">
      <c r="C26" s="18"/>
    </row>
    <row r="27" spans="3:3" ht="14" x14ac:dyDescent="0.15">
      <c r="C27" s="18"/>
    </row>
    <row r="28" spans="3:3" ht="14" x14ac:dyDescent="0.15">
      <c r="C28" s="18"/>
    </row>
    <row r="29" spans="3:3" ht="14" x14ac:dyDescent="0.15"/>
    <row r="30" spans="3:3" ht="14" x14ac:dyDescent="0.15"/>
    <row r="31" spans="3:3" ht="14" x14ac:dyDescent="0.15"/>
    <row r="32" spans="3:3" ht="14" x14ac:dyDescent="0.15"/>
    <row r="33" spans="1:19" ht="14" x14ac:dyDescent="0.1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spans="1:19" ht="14" x14ac:dyDescent="0.15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19" ht="14" x14ac:dyDescent="0.15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19" ht="14" x14ac:dyDescent="0.15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spans="1:19" ht="14" x14ac:dyDescent="0.15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 ht="14" x14ac:dyDescent="0.15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 spans="1:19" ht="14" x14ac:dyDescent="0.15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 spans="1:19" ht="14" x14ac:dyDescent="0.15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spans="1:19" ht="14" x14ac:dyDescent="0.15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</row>
    <row r="42" spans="1:19" ht="14" x14ac:dyDescent="0.15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spans="1:19" ht="14" x14ac:dyDescent="0.15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</row>
    <row r="44" spans="1:19" ht="14" x14ac:dyDescent="0.15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spans="1:19" ht="14" x14ac:dyDescent="0.15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</row>
    <row r="46" spans="1:19" ht="14" x14ac:dyDescent="0.15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spans="1:19" ht="14" x14ac:dyDescent="0.15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  <row r="48" spans="1:19" ht="14" x14ac:dyDescent="0.15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</row>
    <row r="49" spans="2:19" ht="14" x14ac:dyDescent="0.15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</row>
    <row r="50" spans="2:19" ht="14" x14ac:dyDescent="0.15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 spans="2:19" ht="14" x14ac:dyDescent="0.15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</row>
    <row r="52" spans="2:19" ht="14" x14ac:dyDescent="0.15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</row>
    <row r="53" spans="2:19" ht="14" x14ac:dyDescent="0.15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</row>
    <row r="54" spans="2:19" ht="14" x14ac:dyDescent="0.1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</row>
    <row r="55" spans="2:19" ht="14" x14ac:dyDescent="0.15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</row>
    <row r="56" spans="2:19" ht="14" x14ac:dyDescent="0.15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</row>
    <row r="57" spans="2:19" ht="14" x14ac:dyDescent="0.15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</row>
    <row r="58" spans="2:19" ht="14" x14ac:dyDescent="0.15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 spans="2:19" ht="14" x14ac:dyDescent="0.1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 spans="2:19" ht="14" x14ac:dyDescent="0.1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 spans="2:19" ht="14" x14ac:dyDescent="0.1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 spans="2:19" ht="14" x14ac:dyDescent="0.1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 spans="2:19" ht="14" x14ac:dyDescent="0.1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</row>
    <row r="64" spans="2:19" ht="14" x14ac:dyDescent="0.1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 spans="2:19" ht="14" x14ac:dyDescent="0.1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 spans="2:19" ht="14" x14ac:dyDescent="0.1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r="1048560" ht="14" x14ac:dyDescent="0.15"/>
    <row r="1048561" ht="14" x14ac:dyDescent="0.15"/>
    <row r="1048562" ht="14" x14ac:dyDescent="0.15"/>
    <row r="1048563" ht="14" x14ac:dyDescent="0.15"/>
    <row r="1048564" ht="14" x14ac:dyDescent="0.15"/>
    <row r="1048565" ht="14" x14ac:dyDescent="0.15"/>
    <row r="1048566" ht="14" x14ac:dyDescent="0.15"/>
    <row r="1048567" ht="14" x14ac:dyDescent="0.15"/>
    <row r="1048568" ht="14" x14ac:dyDescent="0.15"/>
    <row r="1048569" ht="14" x14ac:dyDescent="0.15"/>
    <row r="1048570" ht="14" x14ac:dyDescent="0.15"/>
    <row r="1048571" ht="14" x14ac:dyDescent="0.15"/>
    <row r="1048572" ht="14" x14ac:dyDescent="0.15"/>
    <row r="1048573" ht="14" x14ac:dyDescent="0.15"/>
    <row r="1048574" ht="14" x14ac:dyDescent="0.15"/>
    <row r="1048575" ht="14" x14ac:dyDescent="0.15"/>
    <row r="1048576" ht="14" x14ac:dyDescent="0.15"/>
  </sheetData>
  <mergeCells count="3">
    <mergeCell ref="A1:Q1"/>
    <mergeCell ref="R1:S1"/>
    <mergeCell ref="J15:L1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69AD-4B9F-4443-B9DC-62BB8A990035}">
  <dimension ref="A1:S13"/>
  <sheetViews>
    <sheetView topLeftCell="F1" workbookViewId="0">
      <selection activeCell="Q16" sqref="Q16"/>
    </sheetView>
  </sheetViews>
  <sheetFormatPr baseColWidth="10" defaultRowHeight="14" x14ac:dyDescent="0.15"/>
  <cols>
    <col min="6" max="6" width="28.1640625" customWidth="1"/>
    <col min="7" max="7" width="17.5" customWidth="1"/>
    <col min="11" max="11" width="17.1640625" customWidth="1"/>
  </cols>
  <sheetData>
    <row r="1" spans="1:19" ht="20" x14ac:dyDescent="0.25">
      <c r="A1" s="29" t="s">
        <v>55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0" t="s">
        <v>1</v>
      </c>
      <c r="S1" s="30"/>
    </row>
    <row r="2" spans="1:19" ht="39" x14ac:dyDescent="0.2">
      <c r="A2" s="24" t="s">
        <v>2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24" t="s">
        <v>8</v>
      </c>
      <c r="H2" s="24" t="s">
        <v>9</v>
      </c>
      <c r="I2" s="24" t="s">
        <v>10</v>
      </c>
      <c r="J2" s="24" t="s">
        <v>11</v>
      </c>
      <c r="K2" s="25" t="s">
        <v>12</v>
      </c>
      <c r="L2" s="25" t="s">
        <v>13</v>
      </c>
      <c r="M2" s="25" t="s">
        <v>14</v>
      </c>
      <c r="N2" s="24" t="s">
        <v>15</v>
      </c>
      <c r="O2" s="24" t="s">
        <v>16</v>
      </c>
      <c r="P2" s="24" t="s">
        <v>17</v>
      </c>
      <c r="Q2" s="24" t="s">
        <v>18</v>
      </c>
      <c r="R2" s="23" t="s">
        <v>19</v>
      </c>
      <c r="S2" s="23" t="s">
        <v>20</v>
      </c>
    </row>
    <row r="3" spans="1:19" ht="45" x14ac:dyDescent="0.15">
      <c r="A3" s="1">
        <v>1</v>
      </c>
      <c r="B3" s="1" t="s">
        <v>21</v>
      </c>
      <c r="C3" s="2" t="s">
        <v>22</v>
      </c>
      <c r="D3" s="1" t="s">
        <v>56</v>
      </c>
      <c r="E3" s="1" t="s">
        <v>57</v>
      </c>
      <c r="F3" s="3" t="s">
        <v>58</v>
      </c>
      <c r="G3" s="1" t="s">
        <v>59</v>
      </c>
      <c r="H3" s="1" t="s">
        <v>27</v>
      </c>
      <c r="I3" s="1">
        <v>28.636510000000001</v>
      </c>
      <c r="J3" s="1">
        <v>77.397637000000003</v>
      </c>
      <c r="K3" s="1" t="s">
        <v>28</v>
      </c>
      <c r="L3" s="1"/>
      <c r="M3" s="1" t="s">
        <v>29</v>
      </c>
      <c r="N3" s="4">
        <v>45811</v>
      </c>
      <c r="O3" s="31" t="s">
        <v>60</v>
      </c>
      <c r="P3" s="1"/>
      <c r="Q3" s="1">
        <f>R3*S3</f>
        <v>5280</v>
      </c>
      <c r="R3" s="5">
        <v>110</v>
      </c>
      <c r="S3" s="5">
        <v>48</v>
      </c>
    </row>
    <row r="4" spans="1:19" ht="45" x14ac:dyDescent="0.15">
      <c r="A4" s="1">
        <v>2</v>
      </c>
      <c r="B4" s="1" t="s">
        <v>21</v>
      </c>
      <c r="C4" s="2" t="s">
        <v>22</v>
      </c>
      <c r="D4" s="1" t="s">
        <v>56</v>
      </c>
      <c r="E4" s="1" t="s">
        <v>57</v>
      </c>
      <c r="F4" s="3" t="s">
        <v>58</v>
      </c>
      <c r="G4" s="1" t="s">
        <v>59</v>
      </c>
      <c r="H4" s="1" t="s">
        <v>27</v>
      </c>
      <c r="I4" s="1">
        <v>28.636911999999999</v>
      </c>
      <c r="J4" s="1">
        <v>77.392926000000003</v>
      </c>
      <c r="K4" s="1" t="s">
        <v>34</v>
      </c>
      <c r="L4" s="1"/>
      <c r="M4" s="1" t="s">
        <v>29</v>
      </c>
      <c r="N4" s="4">
        <v>45812</v>
      </c>
      <c r="O4" s="31"/>
      <c r="P4" s="1"/>
      <c r="Q4" s="1">
        <f>R4*S4</f>
        <v>5280</v>
      </c>
      <c r="R4" s="5">
        <v>110</v>
      </c>
      <c r="S4" s="5">
        <v>48</v>
      </c>
    </row>
    <row r="5" spans="1:19" ht="45" x14ac:dyDescent="0.15">
      <c r="A5" s="1">
        <v>3</v>
      </c>
      <c r="B5" s="1" t="s">
        <v>21</v>
      </c>
      <c r="C5" s="2" t="s">
        <v>22</v>
      </c>
      <c r="D5" s="1" t="s">
        <v>56</v>
      </c>
      <c r="E5" s="1" t="s">
        <v>57</v>
      </c>
      <c r="F5" s="3" t="s">
        <v>61</v>
      </c>
      <c r="G5" s="1" t="s">
        <v>59</v>
      </c>
      <c r="H5" s="1" t="s">
        <v>27</v>
      </c>
      <c r="I5" s="1">
        <v>28.636702</v>
      </c>
      <c r="J5" s="1">
        <v>77.397983999999994</v>
      </c>
      <c r="K5" s="1" t="s">
        <v>37</v>
      </c>
      <c r="L5" s="1"/>
      <c r="M5" s="1" t="s">
        <v>29</v>
      </c>
      <c r="N5" s="4">
        <v>45813</v>
      </c>
      <c r="O5" s="1" t="s">
        <v>62</v>
      </c>
      <c r="P5" s="1"/>
      <c r="Q5" s="1">
        <f>R5*S5</f>
        <v>3795</v>
      </c>
      <c r="R5" s="5">
        <v>115</v>
      </c>
      <c r="S5" s="5">
        <v>33</v>
      </c>
    </row>
    <row r="6" spans="1:19" ht="15" x14ac:dyDescent="0.15">
      <c r="A6" s="1">
        <v>4</v>
      </c>
      <c r="B6" s="1" t="s">
        <v>21</v>
      </c>
      <c r="C6" s="2" t="s">
        <v>22</v>
      </c>
      <c r="D6" s="1" t="s">
        <v>56</v>
      </c>
      <c r="E6" s="1" t="s">
        <v>57</v>
      </c>
      <c r="F6" s="1" t="s">
        <v>63</v>
      </c>
      <c r="G6" s="1" t="s">
        <v>59</v>
      </c>
      <c r="H6" s="1" t="s">
        <v>27</v>
      </c>
      <c r="I6" s="1">
        <v>28.688084</v>
      </c>
      <c r="J6" s="1">
        <v>77.543154000000001</v>
      </c>
      <c r="K6" s="1" t="s">
        <v>39</v>
      </c>
      <c r="L6" s="1"/>
      <c r="M6" s="1" t="s">
        <v>29</v>
      </c>
      <c r="N6" s="4">
        <v>45784</v>
      </c>
      <c r="O6" s="1" t="s">
        <v>64</v>
      </c>
      <c r="P6" s="1"/>
      <c r="Q6" s="1">
        <f>R6*S6</f>
        <v>4224</v>
      </c>
      <c r="R6" s="5">
        <v>88</v>
      </c>
      <c r="S6" s="5">
        <v>48</v>
      </c>
    </row>
    <row r="7" spans="1:19" ht="15" x14ac:dyDescent="0.15">
      <c r="A7" s="1">
        <v>5</v>
      </c>
      <c r="B7" s="1" t="s">
        <v>21</v>
      </c>
      <c r="C7" s="2" t="s">
        <v>22</v>
      </c>
      <c r="D7" s="1" t="s">
        <v>56</v>
      </c>
      <c r="E7" s="1" t="s">
        <v>57</v>
      </c>
      <c r="F7" s="1" t="s">
        <v>65</v>
      </c>
      <c r="G7" s="1" t="s">
        <v>59</v>
      </c>
      <c r="H7" s="1" t="s">
        <v>27</v>
      </c>
      <c r="I7" s="1">
        <v>28.688794000000001</v>
      </c>
      <c r="J7" s="1">
        <v>77.547554000000005</v>
      </c>
      <c r="K7" s="1" t="s">
        <v>45</v>
      </c>
      <c r="L7" s="1"/>
      <c r="M7" s="1" t="s">
        <v>29</v>
      </c>
      <c r="N7" s="4">
        <v>45784</v>
      </c>
      <c r="O7" s="1" t="s">
        <v>66</v>
      </c>
      <c r="P7" s="1"/>
      <c r="Q7" s="1">
        <f>R7*S7</f>
        <v>3108</v>
      </c>
      <c r="R7" s="5">
        <v>111</v>
      </c>
      <c r="S7" s="5">
        <v>28</v>
      </c>
    </row>
    <row r="8" spans="1:19" x14ac:dyDescent="0.15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4"/>
      <c r="O8" s="1"/>
      <c r="P8" s="1"/>
      <c r="Q8" s="1"/>
      <c r="R8" s="5"/>
      <c r="S8" s="5"/>
    </row>
    <row r="9" spans="1:19" x14ac:dyDescent="0.15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4"/>
      <c r="O9" s="1"/>
      <c r="P9" s="1"/>
      <c r="Q9" s="1"/>
      <c r="R9" s="5"/>
      <c r="S9" s="5"/>
    </row>
    <row r="10" spans="1:19" x14ac:dyDescent="0.15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4"/>
      <c r="O10" s="1"/>
      <c r="P10" s="1"/>
      <c r="Q10" s="1"/>
      <c r="R10" s="5"/>
      <c r="S10" s="5"/>
    </row>
    <row r="11" spans="1:19" ht="15" x14ac:dyDescent="0.15">
      <c r="A11" s="6"/>
      <c r="B11" s="6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"/>
      <c r="Q11" s="8"/>
      <c r="R11" s="9"/>
      <c r="S11" s="9"/>
    </row>
    <row r="12" spans="1:19" ht="15" x14ac:dyDescent="0.15">
      <c r="A12" s="6"/>
      <c r="B12" s="6"/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"/>
      <c r="Q12" s="8"/>
      <c r="R12" s="9"/>
      <c r="S12" s="9"/>
    </row>
    <row r="13" spans="1:19" x14ac:dyDescent="0.15">
      <c r="A13" s="6"/>
      <c r="B13" s="9"/>
      <c r="C13" s="10"/>
      <c r="D13" s="9"/>
      <c r="E13" s="9"/>
      <c r="F13" s="9"/>
      <c r="G13" s="9"/>
      <c r="H13" s="9"/>
      <c r="I13" s="9"/>
      <c r="J13" s="28" t="s">
        <v>41</v>
      </c>
      <c r="K13" s="28"/>
      <c r="L13" s="28"/>
      <c r="M13" s="11"/>
      <c r="N13" s="12"/>
      <c r="O13" s="11"/>
      <c r="P13" s="11">
        <f>SUM(P3:P11)</f>
        <v>0</v>
      </c>
      <c r="Q13" s="13">
        <f>SUM(Q3:Q11)</f>
        <v>21687</v>
      </c>
      <c r="R13" s="11"/>
      <c r="S13" s="11"/>
    </row>
  </sheetData>
  <mergeCells count="4">
    <mergeCell ref="A1:Q1"/>
    <mergeCell ref="R1:S1"/>
    <mergeCell ref="O3:O4"/>
    <mergeCell ref="J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</vt:lpstr>
      <vt:lpstr>Ghaziabad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Akhil Singh</cp:lastModifiedBy>
  <cp:revision>198</cp:revision>
  <cp:lastPrinted>2024-11-27T07:50:38Z</cp:lastPrinted>
  <dcterms:created xsi:type="dcterms:W3CDTF">2024-05-14T05:31:50Z</dcterms:created>
  <dcterms:modified xsi:type="dcterms:W3CDTF">2025-06-18T02:44:18Z</dcterms:modified>
  <dc:language>en-IN</dc:language>
</cp:coreProperties>
</file>