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/Users/aa/Desktop/Desktop/General/JSW/Dec - Mar 26/Billing/4th March/"/>
    </mc:Choice>
  </mc:AlternateContent>
  <xr:revisionPtr revIDLastSave="0" documentId="8_{AEBF7BDE-FFEE-4640-9B68-F2AF1788D66F}" xr6:coauthVersionLast="47" xr6:coauthVersionMax="47" xr10:uidLastSave="{00000000-0000-0000-0000-000000000000}"/>
  <bookViews>
    <workbookView xWindow="0" yWindow="600" windowWidth="28800" windowHeight="16080" tabRatio="500" firstSheet="1" activeTab="1" xr2:uid="{00000000-000D-0000-FFFF-FFFF00000000}"/>
  </bookViews>
  <sheets>
    <sheet name="HR" sheetId="1" r:id="rId1"/>
    <sheet name="D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278" i="1" l="1"/>
  <c r="R61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78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73" i="1"/>
  <c r="R56" i="2" l="1"/>
  <c r="R275" i="1" l="1"/>
  <c r="R58" i="2"/>
</calcChain>
</file>

<file path=xl/sharedStrings.xml><?xml version="1.0" encoding="utf-8"?>
<sst xmlns="http://schemas.openxmlformats.org/spreadsheetml/2006/main" count="1153" uniqueCount="379">
  <si>
    <t>JSW One TMT Shop Painting Work Details Sheet - Haryana</t>
  </si>
  <si>
    <t>Size</t>
  </si>
  <si>
    <t>S.No</t>
  </si>
  <si>
    <t>Region</t>
  </si>
  <si>
    <t>Dealer/Area</t>
  </si>
  <si>
    <t>State</t>
  </si>
  <si>
    <t>City</t>
  </si>
  <si>
    <t>Location</t>
  </si>
  <si>
    <t>Site name</t>
  </si>
  <si>
    <t>Status</t>
  </si>
  <si>
    <t>Latitude</t>
  </si>
  <si>
    <t>Longitude</t>
  </si>
  <si>
    <t>Wall/Shop Number (Vendor Initials_wall No._DD/MM/YY)</t>
  </si>
  <si>
    <t>Type</t>
  </si>
  <si>
    <t>Wall Tenure (in months)</t>
  </si>
  <si>
    <t>Rented/
Free Wall</t>
  </si>
  <si>
    <t>Amount
of Rent</t>
  </si>
  <si>
    <t>Execution Date</t>
  </si>
  <si>
    <t>Comment/Remarks</t>
  </si>
  <si>
    <t>Actual Sq ft</t>
  </si>
  <si>
    <t>QTY</t>
  </si>
  <si>
    <t>W</t>
  </si>
  <si>
    <t>H</t>
  </si>
  <si>
    <t>North</t>
  </si>
  <si>
    <t>Shri Madan Lal Associates LLP</t>
  </si>
  <si>
    <t>HR</t>
  </si>
  <si>
    <t>Karnal</t>
  </si>
  <si>
    <t>Behind Volkwagen Showroom, G.T. Rd, 
Opp. Kamboohpura – Karnal</t>
  </si>
  <si>
    <t>Haryana</t>
  </si>
  <si>
    <t>OK</t>
  </si>
  <si>
    <t>BRANDHUT- 01/01</t>
  </si>
  <si>
    <t>02.01.2026</t>
  </si>
  <si>
    <t xml:space="preserve">Bill Raised : </t>
  </si>
  <si>
    <t>BRANDHUT- 01/02</t>
  </si>
  <si>
    <t>BRANDHUT- 01/03</t>
  </si>
  <si>
    <t>BRANDHUT- 01/04</t>
  </si>
  <si>
    <t>Shutter</t>
  </si>
  <si>
    <t>BRANDHUT- 01/05</t>
  </si>
  <si>
    <t>BRANDHUT- 01/06</t>
  </si>
  <si>
    <t>Shree Shyam Ji Building
 Material Store</t>
  </si>
  <si>
    <t>Nigdhu, Nilokheri – Karnal</t>
  </si>
  <si>
    <t>BRANDHUT- 02/01</t>
  </si>
  <si>
    <t>01.01.2026</t>
  </si>
  <si>
    <t>BRANDHUT- 02/03</t>
  </si>
  <si>
    <t>BRANDHUT- 02/04</t>
  </si>
  <si>
    <t>Bansal Building Material Store</t>
  </si>
  <si>
    <t>Sonkar Road, Tarawari - Karnal</t>
  </si>
  <si>
    <t>BRANDHUT- 03/01</t>
  </si>
  <si>
    <t>SE</t>
  </si>
  <si>
    <t>Delhi Steel &amp; Cement</t>
  </si>
  <si>
    <t>Gurugram</t>
  </si>
  <si>
    <t>Jal Vihar Colony, Sector – 46 – Gurugram</t>
  </si>
  <si>
    <t>BRANDHUT- 04/01</t>
  </si>
  <si>
    <t>13.01.2026</t>
  </si>
  <si>
    <t>Akshay Udyog</t>
  </si>
  <si>
    <t>Daultabad Industrial Area – Gurugram</t>
  </si>
  <si>
    <t>BRANDHUT- 05/01</t>
  </si>
  <si>
    <t>14.01.2026</t>
  </si>
  <si>
    <t>BRANDHUT- 05/02</t>
  </si>
  <si>
    <t>BRANDHUT- 05/03</t>
  </si>
  <si>
    <t>BRANDHUT- 05/04</t>
  </si>
  <si>
    <t>Shree Shyam Steel</t>
  </si>
  <si>
    <t>Hemilton Court Road – Gurugram</t>
  </si>
  <si>
    <t>BRANDHUT- 06/01</t>
  </si>
  <si>
    <t>17.01.2026</t>
  </si>
  <si>
    <t>BRANDHUT- 06/02</t>
  </si>
  <si>
    <t>BRANDHUT- 06/03</t>
  </si>
  <si>
    <t>BRANDHUT- 06/04</t>
  </si>
  <si>
    <t>Om Traders</t>
  </si>
  <si>
    <t>Maruti Kunj, Near DPS School, Bhondsi – Gurugram</t>
  </si>
  <si>
    <t>BRANDHUT- 07/01</t>
  </si>
  <si>
    <t>15.01.2026</t>
  </si>
  <si>
    <t>BRANDHUT- 07/02</t>
  </si>
  <si>
    <t>S.R. Enterprises</t>
  </si>
  <si>
    <t>Carteripur Marg, Palam Vihar Extension – Gurugram</t>
  </si>
  <si>
    <t>BRANDHUT- 08/01</t>
  </si>
  <si>
    <t>BRANDHUT- 08/02</t>
  </si>
  <si>
    <t>BRANDHUT- 08/03</t>
  </si>
  <si>
    <t>Vinay Building Material Supplier</t>
  </si>
  <si>
    <t>Gohana – Meham Rd, Lakhan Majra – Gurugram</t>
  </si>
  <si>
    <t>BRANDHUT- 09/01</t>
  </si>
  <si>
    <t>18.01.2026</t>
  </si>
  <si>
    <t>BRANDHUT- 09/02</t>
  </si>
  <si>
    <t>BRANDHUT- 09/03</t>
  </si>
  <si>
    <t>Ganapati Steel</t>
  </si>
  <si>
    <t>Jind</t>
  </si>
  <si>
    <t>Ghanta Ghar, Old Grain Market – Jind</t>
  </si>
  <si>
    <t>BRANDHUT- 10/01</t>
  </si>
  <si>
    <t>19.01.2026</t>
  </si>
  <si>
    <t>BRANDHUT- 10/02</t>
  </si>
  <si>
    <t>BRANDHUT- 10/03</t>
  </si>
  <si>
    <t>NE</t>
  </si>
  <si>
    <t>Shakti Steel Traders</t>
  </si>
  <si>
    <t>Sonipat</t>
  </si>
  <si>
    <t>Sant Nagar, Sector – 6, Huda – Sonipat</t>
  </si>
  <si>
    <t>BRANDHUT – 01/01</t>
  </si>
  <si>
    <t>04.01.2026</t>
  </si>
  <si>
    <t>BRANDHUT – 01/02</t>
  </si>
  <si>
    <t>Sohan Trading Company</t>
  </si>
  <si>
    <t>Sector – 7, Gohana – Sonipat</t>
  </si>
  <si>
    <t>BRANDHUT – 02/01</t>
  </si>
  <si>
    <t>05.01.2026</t>
  </si>
  <si>
    <t>BRANDHUT – 02/02</t>
  </si>
  <si>
    <t>Shree Shyam Building Material</t>
  </si>
  <si>
    <t xml:space="preserve">Sonipat </t>
  </si>
  <si>
    <t>Kharkhoda, Near Kitab Singh Hospital – Sonipat</t>
  </si>
  <si>
    <t>BRANDHUT – 03/01</t>
  </si>
  <si>
    <t>06.01.2026</t>
  </si>
  <si>
    <t xml:space="preserve">Haryana </t>
  </si>
  <si>
    <t>BRANDHUT – 03/02</t>
  </si>
  <si>
    <t>BRANDHUT – 03/03</t>
  </si>
  <si>
    <t xml:space="preserve"> C.H. Steel</t>
  </si>
  <si>
    <t xml:space="preserve">HR </t>
  </si>
  <si>
    <t>Sankhol, Bahadurgarh – Jhajjar</t>
  </si>
  <si>
    <t>BRANDHUT - 04/01</t>
  </si>
  <si>
    <t>BRANDHUT - 04/02</t>
  </si>
  <si>
    <t>07.01.2026</t>
  </si>
  <si>
    <t>BRANDHUT - 04/03</t>
  </si>
  <si>
    <t>BRANDHUT - 04/04</t>
  </si>
  <si>
    <t xml:space="preserve"> </t>
  </si>
  <si>
    <t>BRANDHUT -04\05</t>
  </si>
  <si>
    <t>Shree Bala Ji Iron Store</t>
  </si>
  <si>
    <t>Jhajjar</t>
  </si>
  <si>
    <t>Yadav Colony, Bahadurgarh - Jhajjar</t>
  </si>
  <si>
    <t>BRANDHUT -05\01</t>
  </si>
  <si>
    <t>08..01.2026</t>
  </si>
  <si>
    <t>City Builder</t>
  </si>
  <si>
    <t>Rohtak</t>
  </si>
  <si>
    <t>Near Petrol Pump, Old Anaj Mandi – Rohtak</t>
  </si>
  <si>
    <t>09.01.2026</t>
  </si>
  <si>
    <t>BRANDHUT- 06/05</t>
  </si>
  <si>
    <t>BRANDHUT- 06/06</t>
  </si>
  <si>
    <t>Naveen Trading Company</t>
  </si>
  <si>
    <t>Near Patrol Pamp old Anja Mandir – Rohtak</t>
  </si>
  <si>
    <t>.</t>
  </si>
  <si>
    <t>Shri Krishna Builders &amp; Steel</t>
  </si>
  <si>
    <t>Oppste Siwach Sanjeevni Hospital - Rohtak</t>
  </si>
  <si>
    <t>BRANDHUT-08/01</t>
  </si>
  <si>
    <t>10.01.2026</t>
  </si>
  <si>
    <t>BRANDHUT-08/02</t>
  </si>
  <si>
    <t>BRANDHUT-08/03</t>
  </si>
  <si>
    <t>Shri Shyam Enterprises</t>
  </si>
  <si>
    <t>Bhagotipur- Plot No. 34,35 killa Near, Jio Patrol Pamp - Rohtak</t>
  </si>
  <si>
    <t>11.01.2026</t>
  </si>
  <si>
    <t>BRANDHUT -09/02</t>
  </si>
  <si>
    <t>BRANDHUT -09/03</t>
  </si>
  <si>
    <t>BRANDHUT- 09/04</t>
  </si>
  <si>
    <t>Gupta Trading Company</t>
  </si>
  <si>
    <t>Sampla, Garhi Mod - Rohtak</t>
  </si>
  <si>
    <t>12.01.2026</t>
  </si>
  <si>
    <t>BRANDHUT-10/04</t>
  </si>
  <si>
    <t>Sharma Traders</t>
  </si>
  <si>
    <t>Farukh Nagar – Gurugram</t>
  </si>
  <si>
    <t>BRANDHUT – 11/01</t>
  </si>
  <si>
    <t>BRANDHUT – 11/02</t>
  </si>
  <si>
    <t>East</t>
  </si>
  <si>
    <t>Krishna Steel</t>
  </si>
  <si>
    <t>Faridabad</t>
  </si>
  <si>
    <t>Opp. Lakhani Chowk, Main Road – Faridabad</t>
  </si>
  <si>
    <t>BRANDHUT – 12/01</t>
  </si>
  <si>
    <t>16.01.2026</t>
  </si>
  <si>
    <t>BRANDHUT – 12/02</t>
  </si>
  <si>
    <t>BRANDHUT – 12/03</t>
  </si>
  <si>
    <t xml:space="preserve">Delhi Steel </t>
  </si>
  <si>
    <t>60 Fit Road, Sector – 23 – Faridabad</t>
  </si>
  <si>
    <t>BRANDHUT – 13/01</t>
  </si>
  <si>
    <t>BRANDHUT – 13/02</t>
  </si>
  <si>
    <t>Preeti Tradelink Pvt. Ltd.</t>
  </si>
  <si>
    <t>Kartik Vihar, Sector – 21C – Faridabad</t>
  </si>
  <si>
    <t>BRANDHUT – 14/01</t>
  </si>
  <si>
    <t>BRANDHUT – 14/02</t>
  </si>
  <si>
    <t>BRANDHUT – 14/03</t>
  </si>
  <si>
    <t>BRANDHUT – 14/04</t>
  </si>
  <si>
    <t>BRANDHUT – 14/05</t>
  </si>
  <si>
    <t>BRANDHUT – 14/06</t>
  </si>
  <si>
    <t>BRANDHUT – 14/07</t>
  </si>
  <si>
    <t>BRANDHUT -14/08</t>
  </si>
  <si>
    <t>Aggarwal Building Material Store</t>
  </si>
  <si>
    <t>Palwal</t>
  </si>
  <si>
    <t>Hodal Rural, Hodal – Palwal</t>
  </si>
  <si>
    <t>BRANDHUT – 15/01</t>
  </si>
  <si>
    <t>BRANDHUT -15/02</t>
  </si>
  <si>
    <t>BRANDHUT -15/03</t>
  </si>
  <si>
    <t>Yadav Iron Store</t>
  </si>
  <si>
    <t>Rewari</t>
  </si>
  <si>
    <t>Durga Colony – Rewari</t>
  </si>
  <si>
    <t>BRANDHUT -16/01</t>
  </si>
  <si>
    <t>20.01.2026</t>
  </si>
  <si>
    <t>South</t>
  </si>
  <si>
    <t>Prashant Trading Company</t>
  </si>
  <si>
    <t>Mahendragarh</t>
  </si>
  <si>
    <t>Ateli Mandi, Khor – Mahendragarh</t>
  </si>
  <si>
    <t>BRANDHUT – 17/01</t>
  </si>
  <si>
    <t>21.01.2026</t>
  </si>
  <si>
    <t>BRANDHUT – 17/02</t>
  </si>
  <si>
    <t>BRANDHUT – 17/03</t>
  </si>
  <si>
    <t>BRANDHUT – 17/04</t>
  </si>
  <si>
    <t>BRANDHUT – 17/05</t>
  </si>
  <si>
    <t>BRANDHUT – 17/06</t>
  </si>
  <si>
    <t>BRANDHUT – 17/07</t>
  </si>
  <si>
    <t>Bansal Iron Store</t>
  </si>
  <si>
    <t>Mahendragarh to Dadri Road, Kharkhara – Mahendragarh</t>
  </si>
  <si>
    <t>BRANDHUT – 18/01</t>
  </si>
  <si>
    <t>22.02.2026</t>
  </si>
  <si>
    <t>BRANDHUT – 18/02</t>
  </si>
  <si>
    <t>Shree Shyam Trading Company</t>
  </si>
  <si>
    <t>Bhiwani</t>
  </si>
  <si>
    <t>Bawani Khera – Bhiwani</t>
  </si>
  <si>
    <t>BRANDHUT – 19/01</t>
  </si>
  <si>
    <t>23.01.2026</t>
  </si>
  <si>
    <t>BRANDHUT – 19/02</t>
  </si>
  <si>
    <t>West</t>
  </si>
  <si>
    <t>Pal Cement &amp; Steel Pvt. Ltd.</t>
  </si>
  <si>
    <t>Hisar</t>
  </si>
  <si>
    <t>Mirzapurpur Road – Hisar</t>
  </si>
  <si>
    <t>BRANDHUT – 20/01</t>
  </si>
  <si>
    <t>24.01.2026</t>
  </si>
  <si>
    <t>BRANDHUT – 20/02</t>
  </si>
  <si>
    <t>25.01.2026</t>
  </si>
  <si>
    <t>BRANDHUT – 20/03</t>
  </si>
  <si>
    <t>26.01.2026</t>
  </si>
  <si>
    <t>Dharmveer Timber &amp; Steel Traders</t>
  </si>
  <si>
    <t>Barwala – Hisar</t>
  </si>
  <si>
    <t>BRANDHUT – 21/01</t>
  </si>
  <si>
    <t>27.01.2026</t>
  </si>
  <si>
    <t>Shree Salasar Trading Company</t>
  </si>
  <si>
    <t>BRANDHUT – 22/01</t>
  </si>
  <si>
    <t>Om Prakash Building Material</t>
  </si>
  <si>
    <t>Pilu Khera – Jind</t>
  </si>
  <si>
    <t>BRANDHUT – 23/01</t>
  </si>
  <si>
    <t>28.01.2026</t>
  </si>
  <si>
    <t>s</t>
  </si>
  <si>
    <t>BRANDHUT – 23/02</t>
  </si>
  <si>
    <t>Naveen Kumar Pradeep Kumar</t>
  </si>
  <si>
    <t>Kaithal</t>
  </si>
  <si>
    <t>Pundri – Kaithal</t>
  </si>
  <si>
    <t>BRANDHUT – 24/01</t>
  </si>
  <si>
    <t>30.01.2026</t>
  </si>
  <si>
    <t>BRANDHUT – 24/02</t>
  </si>
  <si>
    <t>BRANDHUT – 24/03</t>
  </si>
  <si>
    <t>Shree Bala Ji Sanitary Store</t>
  </si>
  <si>
    <t>Kurukshetra</t>
  </si>
  <si>
    <t>Professor Colony, Pehowa – Kurukshetra</t>
  </si>
  <si>
    <t>BRANDHUT – 25/01</t>
  </si>
  <si>
    <t>31.01.2026</t>
  </si>
  <si>
    <t>BRANDHUT – 25/02</t>
  </si>
  <si>
    <t>BRANDHUT – 25/03</t>
  </si>
  <si>
    <t>Mahaveer Singh Store</t>
  </si>
  <si>
    <t>Pehowa – Kurukshetra</t>
  </si>
  <si>
    <t>BRANDHUT – 26/01</t>
  </si>
  <si>
    <t>01.02.2026</t>
  </si>
  <si>
    <t>BRANDHUT – 26/02</t>
  </si>
  <si>
    <t>BRANDHUT – 26/03</t>
  </si>
  <si>
    <t>Kriti Steel</t>
  </si>
  <si>
    <t>Shahabad – Kurukshetra</t>
  </si>
  <si>
    <t>BRANDHUT – 27/01</t>
  </si>
  <si>
    <t>03.02.2026</t>
  </si>
  <si>
    <t>BRANDHUT – 27/02</t>
  </si>
  <si>
    <t>BRANDHUT – 27/03</t>
  </si>
  <si>
    <t>BRANDHUT – 27/04</t>
  </si>
  <si>
    <t>BRANDHUT – 27/05</t>
  </si>
  <si>
    <t>04.02.2026</t>
  </si>
  <si>
    <t>Shree Shiv Shakti Sales</t>
  </si>
  <si>
    <t>Wazidpur – Kurukshetra</t>
  </si>
  <si>
    <t>BRANDHUT – 28/01</t>
  </si>
  <si>
    <t>BRANDHUT – 28/02</t>
  </si>
  <si>
    <t>BRANDHUT – 28/03</t>
  </si>
  <si>
    <t>Ganapati Sanitary Building Material Store</t>
  </si>
  <si>
    <t>Shahabad, Markanda – Kurukshetra</t>
  </si>
  <si>
    <t>BRANDHUT – 29/01</t>
  </si>
  <si>
    <t>BRANDHUT – 29/02</t>
  </si>
  <si>
    <t>Aggarwal Building Material</t>
  </si>
  <si>
    <t>Ambala</t>
  </si>
  <si>
    <t>Dosadaka – Ambala</t>
  </si>
  <si>
    <t>BRANDHUT – 30/01</t>
  </si>
  <si>
    <t>05.02.2026</t>
  </si>
  <si>
    <t>Hariram Traders</t>
  </si>
  <si>
    <t>Durga Nagar – Ambala</t>
  </si>
  <si>
    <t>BRANDHUT – 31/01</t>
  </si>
  <si>
    <t>Saini Cement &amp; Building Material</t>
  </si>
  <si>
    <t>Panchkula</t>
  </si>
  <si>
    <t>Raipur Rani – Panchkula</t>
  </si>
  <si>
    <t>BRANDHUT – 32/01</t>
  </si>
  <si>
    <t>06.02.2026</t>
  </si>
  <si>
    <t>BRANDHUT – 32/02</t>
  </si>
  <si>
    <t>BRANDHUT – 32/03</t>
  </si>
  <si>
    <t>Jai Steel</t>
  </si>
  <si>
    <t>Yamuna Nagar</t>
  </si>
  <si>
    <t>Saharanpur Rd, Near Aggresein Chowk – Yamunanagar</t>
  </si>
  <si>
    <t>19.02.2026</t>
  </si>
  <si>
    <t>18.02.26</t>
  </si>
  <si>
    <t>BRANDHUT – 01/03</t>
  </si>
  <si>
    <t>BRANDHUT – 01/04</t>
  </si>
  <si>
    <t>BRANDHUT – 01/05</t>
  </si>
  <si>
    <t>19.02.26</t>
  </si>
  <si>
    <t>BRANDHUT – 01/06</t>
  </si>
  <si>
    <t>BRANDHUT – 01/07</t>
  </si>
  <si>
    <t>BRANDHUT – 01/08</t>
  </si>
  <si>
    <t>BRANDHUT – 01/09</t>
  </si>
  <si>
    <t>20.02.26</t>
  </si>
  <si>
    <t>BRANDHUT – 01/10</t>
  </si>
  <si>
    <t>BRANDHUT – 01/11</t>
  </si>
  <si>
    <t>Ansh Trading Comapny</t>
  </si>
  <si>
    <t>Mulana St, Dhin – Ambala</t>
  </si>
  <si>
    <t>21.02.26</t>
  </si>
  <si>
    <t>BRANDHUT – 02/03</t>
  </si>
  <si>
    <t>BRANDHUT – 02/04</t>
  </si>
  <si>
    <t>M.R. Traders</t>
  </si>
  <si>
    <t>Fatehabad</t>
  </si>
  <si>
    <t>Industria Area, Jagjivan Pura – Fatehabad</t>
  </si>
  <si>
    <t>23.02.26</t>
  </si>
  <si>
    <t>BRANDHUT – 03/04</t>
  </si>
  <si>
    <t>24.02.26</t>
  </si>
  <si>
    <t>BRANDHUT – 03/05</t>
  </si>
  <si>
    <t>Shree Bala JI Traders</t>
  </si>
  <si>
    <t>New Shyam Nagar, Shant Nagar – Jind</t>
  </si>
  <si>
    <t>BRANDHUT – 04/01</t>
  </si>
  <si>
    <t>25.02.26</t>
  </si>
  <si>
    <t>BRANDHUT – 04/02</t>
  </si>
  <si>
    <t>BRANDHUT – 04/03</t>
  </si>
  <si>
    <t>BRANDHUT – 04/04</t>
  </si>
  <si>
    <t>26.02.26</t>
  </si>
  <si>
    <t>BRANDHUT – 04/05</t>
  </si>
  <si>
    <t>BRANDHUT – 04/06</t>
  </si>
  <si>
    <t>Ganpat Rai &amp; Sons</t>
  </si>
  <si>
    <t>Model Town, Pehowa – Kurukshetra</t>
  </si>
  <si>
    <t>BRANDHUT – 05/01</t>
  </si>
  <si>
    <t>27.02.26</t>
  </si>
  <si>
    <t>BRANDHUT – 05/02</t>
  </si>
  <si>
    <t>BRANDHUT – 05/03</t>
  </si>
  <si>
    <t>28.02.26</t>
  </si>
  <si>
    <t>BRANDHUT – 05/04</t>
  </si>
  <si>
    <t>BRANDHUT – 05/05</t>
  </si>
  <si>
    <t>BRANDHUT – 05/06</t>
  </si>
  <si>
    <t>BRANDHUT – 05/07</t>
  </si>
  <si>
    <t>BRANDHUT – 05/08</t>
  </si>
  <si>
    <t>01.03.26</t>
  </si>
  <si>
    <t>BRANDHUT – 05/09</t>
  </si>
  <si>
    <t>BRANDHUT – 05/10</t>
  </si>
  <si>
    <t>Total</t>
  </si>
  <si>
    <t>Complete SQ-FT</t>
  </si>
  <si>
    <t xml:space="preserve">   </t>
  </si>
  <si>
    <t>JSW One TMT Shop Painting Work Details Sheet – Delhi</t>
  </si>
  <si>
    <t>Khandelwal Steels</t>
  </si>
  <si>
    <t>DL</t>
  </si>
  <si>
    <t>New Delhi</t>
  </si>
  <si>
    <t>Qutub Minar, Sainik Farm – Delhi</t>
  </si>
  <si>
    <t>Delhi</t>
  </si>
  <si>
    <t>Shree Shyam Balaji Steel</t>
  </si>
  <si>
    <t>Bharthal – Delhi</t>
  </si>
  <si>
    <t>07.02.2026</t>
  </si>
  <si>
    <t>BRANDHUT – 02/05</t>
  </si>
  <si>
    <t>BRANDHUT – 02/06</t>
  </si>
  <si>
    <t>BRANDHUT – 02/07</t>
  </si>
  <si>
    <t>Bansal Steel</t>
  </si>
  <si>
    <t>40 Feet Rd, Vijay Vihar, Rohini – Delhi</t>
  </si>
  <si>
    <t>08.02.2026</t>
  </si>
  <si>
    <t>Raju Steel Company</t>
  </si>
  <si>
    <t>Loha Mandi , Industrial Aea, Naraina</t>
  </si>
  <si>
    <t>09.02.2026</t>
  </si>
  <si>
    <t>Hindustan Steel</t>
  </si>
  <si>
    <t>Najafgarh Dhansa Rd, Rawta More</t>
  </si>
  <si>
    <t>10.02.2026</t>
  </si>
  <si>
    <t>Shivam Steel</t>
  </si>
  <si>
    <t>New Gopal Nagar, Najafgarh – Delhi</t>
  </si>
  <si>
    <t>BRANDHUT – 06/01</t>
  </si>
  <si>
    <t>11.02.2026</t>
  </si>
  <si>
    <t>BRANDHUT – 06/02</t>
  </si>
  <si>
    <t>BRANDHUT – 06/03</t>
  </si>
  <si>
    <t>BRANDHUT – 06/04</t>
  </si>
  <si>
    <t>BRANDHUT – 06/05</t>
  </si>
  <si>
    <t>BRANDHUT – 06/06</t>
  </si>
  <si>
    <t>Baba Haridas Building Material</t>
  </si>
  <si>
    <t>Janta Vihar Colony, Haridas Enclave</t>
  </si>
  <si>
    <t>BRANDHUT – 07/01</t>
  </si>
  <si>
    <t>BRANDHUT – 07/02</t>
  </si>
  <si>
    <t>Rajdhani Enterprises</t>
  </si>
  <si>
    <t>Aam Bagh, Mehrauli – Delhi</t>
  </si>
  <si>
    <t>01.03.2026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</si>
</sst>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s.-4009]#,##0.00;[Red]\-[$Rs.-4009]#,##0.00"/>
    <numFmt numFmtId="165" formatCode="[$-4009]General"/>
    <numFmt numFmtId="166" formatCode="[$-4009]#,##0.00"/>
    <numFmt numFmtId="167" formatCode="#,##0.0"/>
  </numFmts>
  <fonts count="21">
    <font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CC0000"/>
      <name val="Arial"/>
      <family val="2"/>
      <charset val="1"/>
    </font>
    <font>
      <sz val="11"/>
      <color rgb="FF000000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b/>
      <sz val="24"/>
      <color theme="1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theme="1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b/>
      <sz val="15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6600"/>
      <name val="Arial"/>
      <family val="2"/>
      <charset val="1"/>
    </font>
    <font>
      <sz val="10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66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4" fillId="0" borderId="0" applyBorder="0" applyProtection="0"/>
    <xf numFmtId="0" fontId="1" fillId="6" borderId="0"/>
    <xf numFmtId="0" fontId="5" fillId="0" borderId="0"/>
    <xf numFmtId="0" fontId="6" fillId="7" borderId="0" applyBorder="0" applyProtection="0"/>
    <xf numFmtId="0" fontId="7" fillId="0" borderId="0">
      <alignment horizontal="center" textRotation="90"/>
    </xf>
    <xf numFmtId="0" fontId="8" fillId="0" borderId="0"/>
    <xf numFmtId="0" fontId="9" fillId="0" borderId="0"/>
    <xf numFmtId="0" fontId="10" fillId="0" borderId="0"/>
    <xf numFmtId="0" fontId="11" fillId="0" borderId="0"/>
    <xf numFmtId="164" fontId="11" fillId="0" borderId="0"/>
    <xf numFmtId="0" fontId="20" fillId="0" borderId="0"/>
    <xf numFmtId="0" fontId="20" fillId="0" borderId="0"/>
    <xf numFmtId="0" fontId="3" fillId="0" borderId="0"/>
    <xf numFmtId="165" fontId="13" fillId="0" borderId="0"/>
  </cellStyleXfs>
  <cellXfs count="32">
    <xf numFmtId="0" fontId="0" fillId="0" borderId="0" xfId="0"/>
    <xf numFmtId="166" fontId="19" fillId="7" borderId="1" xfId="13" applyNumberFormat="1" applyFont="1" applyBorder="1" applyAlignment="1" applyProtection="1">
      <alignment horizontal="center" vertical="center"/>
    </xf>
    <xf numFmtId="165" fontId="18" fillId="0" borderId="1" xfId="23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5" fillId="8" borderId="1" xfId="23" applyFont="1" applyFill="1" applyBorder="1" applyAlignment="1">
      <alignment horizontal="center" vertical="center" wrapText="1"/>
    </xf>
    <xf numFmtId="165" fontId="16" fillId="8" borderId="1" xfId="23" applyFont="1" applyFill="1" applyBorder="1" applyAlignment="1">
      <alignment horizontal="center" vertical="center" wrapText="1"/>
    </xf>
    <xf numFmtId="165" fontId="14" fillId="9" borderId="1" xfId="23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4" fillId="0" borderId="1" xfId="23" applyFont="1" applyBorder="1" applyAlignment="1">
      <alignment horizontal="center" vertical="center"/>
    </xf>
    <xf numFmtId="166" fontId="18" fillId="0" borderId="1" xfId="23" applyNumberFormat="1" applyFont="1" applyBorder="1" applyAlignment="1">
      <alignment horizontal="center" vertical="center"/>
    </xf>
    <xf numFmtId="165" fontId="4" fillId="0" borderId="0" xfId="23" applyFont="1" applyAlignment="1">
      <alignment horizontal="center" vertical="center"/>
    </xf>
    <xf numFmtId="165" fontId="18" fillId="0" borderId="0" xfId="23" applyFont="1" applyAlignment="1">
      <alignment horizontal="center" vertical="center"/>
    </xf>
    <xf numFmtId="165" fontId="4" fillId="0" borderId="0" xfId="23" applyFont="1"/>
    <xf numFmtId="165" fontId="18" fillId="0" borderId="0" xfId="23" applyFont="1"/>
    <xf numFmtId="165" fontId="4" fillId="0" borderId="0" xfId="23" applyFont="1" applyAlignment="1">
      <alignment horizontal="right" vertical="center"/>
    </xf>
    <xf numFmtId="165" fontId="13" fillId="0" borderId="0" xfId="23"/>
    <xf numFmtId="165" fontId="14" fillId="0" borderId="0" xfId="23" applyFont="1"/>
    <xf numFmtId="4" fontId="0" fillId="0" borderId="0" xfId="0" applyNumberFormat="1"/>
    <xf numFmtId="166" fontId="19" fillId="7" borderId="3" xfId="13" applyNumberFormat="1" applyFont="1" applyBorder="1" applyAlignment="1" applyProtection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10" borderId="2" xfId="0" applyFill="1" applyBorder="1" applyAlignment="1">
      <alignment horizontal="center" vertical="top"/>
    </xf>
    <xf numFmtId="165" fontId="12" fillId="8" borderId="1" xfId="23" applyFont="1" applyFill="1" applyBorder="1" applyAlignment="1">
      <alignment horizontal="center" vertical="center"/>
    </xf>
    <xf numFmtId="165" fontId="14" fillId="9" borderId="2" xfId="2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18" fillId="0" borderId="1" xfId="23" applyFont="1" applyBorder="1" applyAlignment="1">
      <alignment horizontal="center" vertical="center"/>
    </xf>
    <xf numFmtId="165" fontId="19" fillId="7" borderId="1" xfId="13" applyNumberFormat="1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4">
    <cellStyle name="Accent 1 5" xfId="1" xr:uid="{00000000-0005-0000-0000-000000000000}"/>
    <cellStyle name="Accent 2 6" xfId="2" xr:uid="{00000000-0005-0000-0000-000001000000}"/>
    <cellStyle name="Accent 3 7" xfId="3" xr:uid="{00000000-0005-0000-0000-000002000000}"/>
    <cellStyle name="Accent 4" xfId="4" xr:uid="{00000000-0005-0000-0000-000003000000}"/>
    <cellStyle name="Bad 1" xfId="5" xr:uid="{00000000-0005-0000-0000-000004000000}"/>
    <cellStyle name="Bad 2" xfId="6" xr:uid="{00000000-0005-0000-0000-000005000000}"/>
    <cellStyle name="Bad 3" xfId="7" xr:uid="{00000000-0005-0000-0000-000006000000}"/>
    <cellStyle name="Bad 4" xfId="8" xr:uid="{00000000-0005-0000-0000-000007000000}"/>
    <cellStyle name="Bad 5" xfId="9" xr:uid="{00000000-0005-0000-0000-000008000000}"/>
    <cellStyle name="Default 8" xfId="10" xr:uid="{00000000-0005-0000-0000-000009000000}"/>
    <cellStyle name="Error 9" xfId="11" xr:uid="{00000000-0005-0000-0000-00000A000000}"/>
    <cellStyle name="Excel Built-in Normal" xfId="23" xr:uid="{00000000-0005-0000-0000-00000B000000}"/>
    <cellStyle name="Footnote 11" xfId="12" xr:uid="{00000000-0005-0000-0000-00000C000000}"/>
    <cellStyle name="Good 4" xfId="13" xr:uid="{00000000-0005-0000-0000-00000D000000}"/>
    <cellStyle name="Heading 1 2" xfId="14" xr:uid="{00000000-0005-0000-0000-00000E000000}"/>
    <cellStyle name="Heading 12" xfId="15" xr:uid="{00000000-0005-0000-0000-00000F000000}"/>
    <cellStyle name="Hyperlink 13" xfId="16" xr:uid="{00000000-0005-0000-0000-000010000000}"/>
    <cellStyle name="Normal" xfId="0" builtinId="0"/>
    <cellStyle name="Result 14" xfId="17" xr:uid="{00000000-0005-0000-0000-000012000000}"/>
    <cellStyle name="Result 4" xfId="18" xr:uid="{00000000-0005-0000-0000-000013000000}"/>
    <cellStyle name="Result2" xfId="19" xr:uid="{00000000-0005-0000-0000-000014000000}"/>
    <cellStyle name="Status 15" xfId="20" xr:uid="{00000000-0005-0000-0000-000015000000}"/>
    <cellStyle name="Text 16" xfId="21" xr:uid="{00000000-0005-0000-0000-000016000000}"/>
    <cellStyle name="Warning 17" xfId="22" xr:uid="{00000000-0005-0000-0000-000017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2"/>
  <sheetViews>
    <sheetView topLeftCell="A238" zoomScale="90" zoomScaleNormal="90" workbookViewId="0">
      <selection activeCell="B277" sqref="B277:C277"/>
    </sheetView>
  </sheetViews>
  <sheetFormatPr defaultColWidth="10" defaultRowHeight="12.75" customHeight="1"/>
  <cols>
    <col min="1" max="1" width="4.28515625" customWidth="1"/>
    <col min="2" max="2" width="8.42578125" customWidth="1"/>
    <col min="3" max="3" width="40.140625" customWidth="1"/>
    <col min="4" max="4" width="6.28515625" customWidth="1"/>
    <col min="5" max="5" width="14.7109375" customWidth="1"/>
    <col min="6" max="6" width="52.28515625" customWidth="1"/>
    <col min="7" max="7" width="10.140625" customWidth="1"/>
    <col min="8" max="8" width="5" customWidth="1"/>
    <col min="9" max="9" width="12.42578125" customWidth="1"/>
    <col min="10" max="10" width="10.7109375" customWidth="1"/>
    <col min="11" max="11" width="18.42578125" customWidth="1"/>
    <col min="12" max="12" width="8.140625" customWidth="1"/>
    <col min="13" max="13" width="9.28515625" hidden="1" customWidth="1"/>
    <col min="14" max="14" width="8.7109375" hidden="1" customWidth="1"/>
    <col min="15" max="15" width="7.42578125" hidden="1" customWidth="1"/>
    <col min="16" max="16" width="11" customWidth="1"/>
    <col min="17" max="17" width="11.42578125" hidden="1" customWidth="1"/>
    <col min="18" max="18" width="14" customWidth="1"/>
    <col min="19" max="19" width="5" customWidth="1"/>
    <col min="20" max="20" width="5.7109375" customWidth="1"/>
    <col min="23" max="23" width="10.7109375" customWidth="1"/>
  </cols>
  <sheetData>
    <row r="1" spans="1:22" ht="20.10000000000000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4" t="s">
        <v>1</v>
      </c>
      <c r="U1" s="24"/>
    </row>
    <row r="2" spans="1:22" ht="38.2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6" t="s">
        <v>17</v>
      </c>
      <c r="Q2" s="6" t="s">
        <v>18</v>
      </c>
      <c r="R2" s="6" t="s">
        <v>19</v>
      </c>
      <c r="S2" s="8" t="s">
        <v>20</v>
      </c>
      <c r="T2" s="8" t="s">
        <v>21</v>
      </c>
      <c r="U2" s="8" t="s">
        <v>22</v>
      </c>
    </row>
    <row r="3" spans="1:22" ht="14.25" customHeight="1">
      <c r="A3" s="25">
        <v>1</v>
      </c>
      <c r="B3" s="26" t="s">
        <v>23</v>
      </c>
      <c r="C3" s="26" t="s">
        <v>24</v>
      </c>
      <c r="D3" s="26" t="s">
        <v>25</v>
      </c>
      <c r="E3" s="26" t="s">
        <v>26</v>
      </c>
      <c r="F3" s="27" t="s">
        <v>27</v>
      </c>
      <c r="G3" s="4" t="s">
        <v>28</v>
      </c>
      <c r="H3" s="4" t="s">
        <v>29</v>
      </c>
      <c r="I3" s="4">
        <v>29.628133999999999</v>
      </c>
      <c r="J3" s="5">
        <v>76.980958000000001</v>
      </c>
      <c r="K3" s="5" t="s">
        <v>30</v>
      </c>
      <c r="L3" s="5"/>
      <c r="M3" s="4"/>
      <c r="N3" s="4"/>
      <c r="O3" s="4"/>
      <c r="P3" s="9" t="s">
        <v>31</v>
      </c>
      <c r="Q3" s="4"/>
      <c r="R3" s="5">
        <f t="shared" ref="R3:R66" si="0">S3*T3*U3</f>
        <v>780</v>
      </c>
      <c r="S3" s="5">
        <v>1</v>
      </c>
      <c r="T3" s="5">
        <v>78</v>
      </c>
      <c r="U3" s="5">
        <v>10</v>
      </c>
      <c r="V3" s="22" t="s">
        <v>32</v>
      </c>
    </row>
    <row r="4" spans="1:22" ht="14.25" customHeight="1">
      <c r="A4" s="25"/>
      <c r="B4" s="26"/>
      <c r="C4" s="26"/>
      <c r="D4" s="26"/>
      <c r="E4" s="26"/>
      <c r="F4" s="26"/>
      <c r="G4" s="4" t="s">
        <v>28</v>
      </c>
      <c r="H4" s="4" t="s">
        <v>29</v>
      </c>
      <c r="I4" s="4">
        <v>29.628283</v>
      </c>
      <c r="J4" s="5">
        <v>76.981302999999997</v>
      </c>
      <c r="K4" s="5" t="s">
        <v>33</v>
      </c>
      <c r="L4" s="5"/>
      <c r="M4" s="4"/>
      <c r="N4" s="4"/>
      <c r="O4" s="4"/>
      <c r="P4" s="9" t="s">
        <v>31</v>
      </c>
      <c r="Q4" s="4"/>
      <c r="R4" s="5">
        <f t="shared" si="0"/>
        <v>560</v>
      </c>
      <c r="S4" s="5">
        <v>1</v>
      </c>
      <c r="T4" s="5">
        <v>56</v>
      </c>
      <c r="U4" s="5">
        <v>10</v>
      </c>
      <c r="V4" s="22"/>
    </row>
    <row r="5" spans="1:22" ht="14.25" customHeight="1">
      <c r="A5" s="25"/>
      <c r="B5" s="26"/>
      <c r="C5" s="26"/>
      <c r="D5" s="26"/>
      <c r="E5" s="26"/>
      <c r="F5" s="26"/>
      <c r="G5" s="4" t="s">
        <v>28</v>
      </c>
      <c r="H5" s="4" t="s">
        <v>29</v>
      </c>
      <c r="I5" s="4">
        <v>29.642510999999999</v>
      </c>
      <c r="J5" s="5">
        <v>76.980429000000001</v>
      </c>
      <c r="K5" s="5" t="s">
        <v>34</v>
      </c>
      <c r="L5" s="5"/>
      <c r="M5" s="4"/>
      <c r="N5" s="4"/>
      <c r="O5" s="4"/>
      <c r="P5" s="9" t="s">
        <v>31</v>
      </c>
      <c r="Q5" s="4"/>
      <c r="R5" s="5">
        <f t="shared" si="0"/>
        <v>875</v>
      </c>
      <c r="S5" s="5">
        <v>1</v>
      </c>
      <c r="T5" s="5">
        <v>70</v>
      </c>
      <c r="U5" s="5">
        <v>12.5</v>
      </c>
      <c r="V5" s="22"/>
    </row>
    <row r="6" spans="1:22" ht="14.25" customHeight="1">
      <c r="A6" s="25"/>
      <c r="B6" s="26"/>
      <c r="C6" s="26"/>
      <c r="D6" s="26"/>
      <c r="E6" s="26"/>
      <c r="F6" s="26"/>
      <c r="G6" s="4" t="s">
        <v>28</v>
      </c>
      <c r="H6" s="4" t="s">
        <v>29</v>
      </c>
      <c r="I6" s="4">
        <v>29.642799</v>
      </c>
      <c r="J6" s="5">
        <v>76.980399000000006</v>
      </c>
      <c r="K6" s="5" t="s">
        <v>35</v>
      </c>
      <c r="L6" s="5" t="s">
        <v>36</v>
      </c>
      <c r="M6" s="4"/>
      <c r="N6" s="4"/>
      <c r="O6" s="4"/>
      <c r="P6" s="9" t="s">
        <v>31</v>
      </c>
      <c r="Q6" s="4"/>
      <c r="R6" s="5">
        <f t="shared" si="0"/>
        <v>162.75</v>
      </c>
      <c r="S6" s="5">
        <v>1</v>
      </c>
      <c r="T6" s="5">
        <v>15.5</v>
      </c>
      <c r="U6" s="5">
        <v>10.5</v>
      </c>
      <c r="V6" s="22"/>
    </row>
    <row r="7" spans="1:22" ht="14.25" customHeight="1">
      <c r="A7" s="25"/>
      <c r="B7" s="26"/>
      <c r="C7" s="26"/>
      <c r="D7" s="26"/>
      <c r="E7" s="26"/>
      <c r="F7" s="26"/>
      <c r="G7" s="4" t="s">
        <v>28</v>
      </c>
      <c r="H7" s="4" t="s">
        <v>29</v>
      </c>
      <c r="I7" s="4">
        <v>29.642714999999999</v>
      </c>
      <c r="J7" s="5">
        <v>76.980361000000002</v>
      </c>
      <c r="K7" s="5" t="s">
        <v>37</v>
      </c>
      <c r="L7" s="5"/>
      <c r="M7" s="5"/>
      <c r="N7" s="5"/>
      <c r="O7" s="5"/>
      <c r="P7" s="9" t="s">
        <v>31</v>
      </c>
      <c r="Q7" s="5"/>
      <c r="R7" s="5">
        <f t="shared" si="0"/>
        <v>258</v>
      </c>
      <c r="S7" s="5">
        <v>1</v>
      </c>
      <c r="T7" s="5">
        <v>21.5</v>
      </c>
      <c r="U7" s="5">
        <v>12</v>
      </c>
      <c r="V7" s="22"/>
    </row>
    <row r="8" spans="1:22" ht="14.25" customHeight="1">
      <c r="A8" s="25"/>
      <c r="B8" s="26"/>
      <c r="C8" s="26"/>
      <c r="D8" s="26"/>
      <c r="E8" s="26"/>
      <c r="F8" s="26"/>
      <c r="G8" s="4" t="s">
        <v>28</v>
      </c>
      <c r="H8" s="4" t="s">
        <v>29</v>
      </c>
      <c r="I8" s="4">
        <v>29.642724000000001</v>
      </c>
      <c r="J8" s="5">
        <v>76.980394000000004</v>
      </c>
      <c r="K8" s="5" t="s">
        <v>38</v>
      </c>
      <c r="L8" s="5" t="s">
        <v>36</v>
      </c>
      <c r="M8" s="5"/>
      <c r="N8" s="5"/>
      <c r="O8" s="5"/>
      <c r="P8" s="9" t="s">
        <v>31</v>
      </c>
      <c r="Q8" s="5"/>
      <c r="R8" s="5">
        <f t="shared" si="0"/>
        <v>110</v>
      </c>
      <c r="S8" s="5">
        <v>1</v>
      </c>
      <c r="T8" s="5">
        <v>11</v>
      </c>
      <c r="U8" s="5">
        <v>10</v>
      </c>
      <c r="V8" s="22"/>
    </row>
    <row r="9" spans="1:22" ht="14.25" customHeight="1">
      <c r="A9" s="25">
        <v>2</v>
      </c>
      <c r="B9" s="26" t="s">
        <v>23</v>
      </c>
      <c r="C9" s="27" t="s">
        <v>39</v>
      </c>
      <c r="D9" s="25" t="s">
        <v>25</v>
      </c>
      <c r="E9" s="25" t="s">
        <v>26</v>
      </c>
      <c r="F9" s="25" t="s">
        <v>40</v>
      </c>
      <c r="G9" s="4" t="s">
        <v>28</v>
      </c>
      <c r="H9" s="4" t="s">
        <v>29</v>
      </c>
      <c r="I9" s="4">
        <v>29.8369</v>
      </c>
      <c r="J9" s="5">
        <v>76.732263000000003</v>
      </c>
      <c r="K9" s="5" t="s">
        <v>41</v>
      </c>
      <c r="L9" s="5" t="s">
        <v>36</v>
      </c>
      <c r="M9" s="5"/>
      <c r="N9" s="5"/>
      <c r="O9" s="5"/>
      <c r="P9" s="5" t="s">
        <v>42</v>
      </c>
      <c r="Q9" s="5"/>
      <c r="R9" s="5">
        <f t="shared" si="0"/>
        <v>588</v>
      </c>
      <c r="S9" s="5">
        <v>1</v>
      </c>
      <c r="T9" s="5">
        <v>42</v>
      </c>
      <c r="U9" s="5">
        <v>14</v>
      </c>
      <c r="V9" s="22"/>
    </row>
    <row r="10" spans="1:22" ht="14.25" customHeight="1">
      <c r="A10" s="25"/>
      <c r="B10" s="26"/>
      <c r="C10" s="26"/>
      <c r="D10" s="25"/>
      <c r="E10" s="25"/>
      <c r="F10" s="25"/>
      <c r="G10" s="4" t="s">
        <v>28</v>
      </c>
      <c r="H10" s="4" t="s">
        <v>29</v>
      </c>
      <c r="I10" s="4">
        <v>29.837007</v>
      </c>
      <c r="J10" s="5">
        <v>76.732076000000006</v>
      </c>
      <c r="K10" s="5" t="s">
        <v>41</v>
      </c>
      <c r="L10" s="5" t="s">
        <v>36</v>
      </c>
      <c r="M10" s="5"/>
      <c r="N10" s="5"/>
      <c r="O10" s="5"/>
      <c r="P10" s="5" t="s">
        <v>42</v>
      </c>
      <c r="Q10" s="5"/>
      <c r="R10" s="5">
        <f t="shared" si="0"/>
        <v>1078</v>
      </c>
      <c r="S10" s="5">
        <v>1</v>
      </c>
      <c r="T10" s="5">
        <v>49</v>
      </c>
      <c r="U10" s="5">
        <v>22</v>
      </c>
      <c r="V10" s="22"/>
    </row>
    <row r="11" spans="1:22" ht="14.25" customHeight="1">
      <c r="A11" s="25"/>
      <c r="B11" s="26"/>
      <c r="C11" s="26"/>
      <c r="D11" s="25"/>
      <c r="E11" s="25"/>
      <c r="F11" s="25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156</v>
      </c>
      <c r="S11" s="5">
        <v>1</v>
      </c>
      <c r="T11" s="5">
        <v>26</v>
      </c>
      <c r="U11" s="5">
        <v>6</v>
      </c>
      <c r="V11" s="22"/>
    </row>
    <row r="12" spans="1:22" ht="14.25" customHeight="1">
      <c r="A12" s="25"/>
      <c r="B12" s="26"/>
      <c r="C12" s="26"/>
      <c r="D12" s="25"/>
      <c r="E12" s="25"/>
      <c r="F12" s="25"/>
      <c r="G12" s="4" t="s">
        <v>28</v>
      </c>
      <c r="H12" s="5" t="s">
        <v>29</v>
      </c>
      <c r="I12" s="5">
        <v>29.838028000000001</v>
      </c>
      <c r="J12" s="5">
        <v>76.72824</v>
      </c>
      <c r="K12" s="5" t="s">
        <v>43</v>
      </c>
      <c r="L12" s="5"/>
      <c r="M12" s="5"/>
      <c r="N12" s="5"/>
      <c r="O12" s="5"/>
      <c r="P12" s="5" t="s">
        <v>42</v>
      </c>
      <c r="Q12" s="5"/>
      <c r="R12" s="5">
        <f t="shared" si="0"/>
        <v>1000</v>
      </c>
      <c r="S12" s="5">
        <v>1</v>
      </c>
      <c r="T12" s="5">
        <v>50</v>
      </c>
      <c r="U12" s="5">
        <v>20</v>
      </c>
      <c r="V12" s="22"/>
    </row>
    <row r="13" spans="1:22" ht="14.25" customHeight="1">
      <c r="A13" s="25"/>
      <c r="B13" s="26"/>
      <c r="C13" s="26"/>
      <c r="D13" s="25"/>
      <c r="E13" s="25"/>
      <c r="F13" s="25"/>
      <c r="G13" s="4" t="s">
        <v>28</v>
      </c>
      <c r="H13" s="5" t="s">
        <v>29</v>
      </c>
      <c r="I13" s="5">
        <v>29.839832000000001</v>
      </c>
      <c r="J13" s="5">
        <v>76.734952000000007</v>
      </c>
      <c r="K13" s="5" t="s">
        <v>44</v>
      </c>
      <c r="L13" s="5"/>
      <c r="M13" s="5"/>
      <c r="N13" s="5"/>
      <c r="O13" s="5"/>
      <c r="P13" s="5" t="s">
        <v>42</v>
      </c>
      <c r="Q13" s="5"/>
      <c r="R13" s="5">
        <f t="shared" si="0"/>
        <v>850</v>
      </c>
      <c r="S13" s="5">
        <v>1</v>
      </c>
      <c r="T13" s="5">
        <v>50</v>
      </c>
      <c r="U13" s="5">
        <v>17</v>
      </c>
      <c r="V13" s="22"/>
    </row>
    <row r="14" spans="1:22" ht="14.25" customHeight="1">
      <c r="A14" s="25"/>
      <c r="B14" s="26"/>
      <c r="C14" s="26"/>
      <c r="D14" s="25"/>
      <c r="E14" s="25"/>
      <c r="F14" s="2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78.75</v>
      </c>
      <c r="S14" s="5">
        <v>1</v>
      </c>
      <c r="T14" s="5">
        <v>10.5</v>
      </c>
      <c r="U14" s="5">
        <v>7.5</v>
      </c>
      <c r="V14" s="22"/>
    </row>
    <row r="15" spans="1:22" ht="14.25" customHeight="1">
      <c r="A15" s="5">
        <v>3</v>
      </c>
      <c r="B15" s="4" t="s">
        <v>23</v>
      </c>
      <c r="C15" s="4" t="s">
        <v>45</v>
      </c>
      <c r="D15" s="5" t="s">
        <v>25</v>
      </c>
      <c r="E15" s="5" t="s">
        <v>26</v>
      </c>
      <c r="F15" s="5" t="s">
        <v>46</v>
      </c>
      <c r="G15" s="5" t="s">
        <v>28</v>
      </c>
      <c r="H15" s="5" t="s">
        <v>29</v>
      </c>
      <c r="I15" s="5">
        <v>29.79618</v>
      </c>
      <c r="J15" s="5">
        <v>76.916048000000004</v>
      </c>
      <c r="K15" s="5" t="s">
        <v>47</v>
      </c>
      <c r="L15" s="5"/>
      <c r="M15" s="5"/>
      <c r="N15" s="5"/>
      <c r="O15" s="5"/>
      <c r="P15" s="5" t="s">
        <v>42</v>
      </c>
      <c r="Q15" s="5"/>
      <c r="R15" s="5">
        <f t="shared" si="0"/>
        <v>1905.5</v>
      </c>
      <c r="S15" s="5">
        <v>1</v>
      </c>
      <c r="T15" s="5">
        <v>103</v>
      </c>
      <c r="U15" s="5">
        <v>18.5</v>
      </c>
      <c r="V15" s="22"/>
    </row>
    <row r="16" spans="1:22" ht="14.25" customHeight="1">
      <c r="A16" s="5">
        <v>4</v>
      </c>
      <c r="B16" s="4" t="s">
        <v>48</v>
      </c>
      <c r="C16" s="4" t="s">
        <v>49</v>
      </c>
      <c r="D16" s="5" t="s">
        <v>25</v>
      </c>
      <c r="E16" s="5" t="s">
        <v>50</v>
      </c>
      <c r="F16" s="5" t="s">
        <v>51</v>
      </c>
      <c r="G16" s="5" t="s">
        <v>28</v>
      </c>
      <c r="H16" s="5" t="s">
        <v>29</v>
      </c>
      <c r="I16" s="5">
        <v>28.456085000000002</v>
      </c>
      <c r="J16" s="5">
        <v>76.990088999999998</v>
      </c>
      <c r="K16" s="5" t="s">
        <v>52</v>
      </c>
      <c r="L16" s="5"/>
      <c r="M16" s="5"/>
      <c r="N16" s="5"/>
      <c r="O16" s="5"/>
      <c r="P16" s="5" t="s">
        <v>53</v>
      </c>
      <c r="Q16" s="5"/>
      <c r="R16" s="5">
        <f t="shared" si="0"/>
        <v>2124</v>
      </c>
      <c r="S16" s="5">
        <v>1</v>
      </c>
      <c r="T16" s="5">
        <v>118</v>
      </c>
      <c r="U16" s="5">
        <v>18</v>
      </c>
      <c r="V16" s="22"/>
    </row>
    <row r="17" spans="1:22" ht="14.25" customHeight="1">
      <c r="A17" s="25">
        <v>5</v>
      </c>
      <c r="B17" s="26" t="s">
        <v>48</v>
      </c>
      <c r="C17" s="26" t="s">
        <v>54</v>
      </c>
      <c r="D17" s="25" t="s">
        <v>25</v>
      </c>
      <c r="E17" s="25" t="s">
        <v>50</v>
      </c>
      <c r="F17" s="25" t="s">
        <v>55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f t="shared" si="0"/>
        <v>28</v>
      </c>
      <c r="S17" s="5">
        <v>1</v>
      </c>
      <c r="T17" s="5">
        <v>4</v>
      </c>
      <c r="U17" s="5">
        <v>7</v>
      </c>
      <c r="V17" s="22"/>
    </row>
    <row r="18" spans="1:22" ht="14.25" customHeight="1">
      <c r="A18" s="25"/>
      <c r="B18" s="26"/>
      <c r="C18" s="26"/>
      <c r="D18" s="25"/>
      <c r="E18" s="25"/>
      <c r="F18" s="25"/>
      <c r="G18" s="5" t="s">
        <v>28</v>
      </c>
      <c r="H18" s="5" t="s">
        <v>29</v>
      </c>
      <c r="I18" s="5">
        <v>28.493300999999999</v>
      </c>
      <c r="J18" s="5">
        <v>76.997916000000004</v>
      </c>
      <c r="K18" s="5" t="s">
        <v>56</v>
      </c>
      <c r="L18" s="5"/>
      <c r="M18" s="5"/>
      <c r="N18" s="5"/>
      <c r="O18" s="5"/>
      <c r="P18" s="5" t="s">
        <v>57</v>
      </c>
      <c r="Q18" s="5"/>
      <c r="R18" s="5">
        <f t="shared" si="0"/>
        <v>210</v>
      </c>
      <c r="S18" s="5">
        <v>1</v>
      </c>
      <c r="T18" s="5">
        <v>21</v>
      </c>
      <c r="U18" s="5">
        <v>10</v>
      </c>
      <c r="V18" s="22"/>
    </row>
    <row r="19" spans="1:22" ht="14.25" customHeight="1">
      <c r="A19" s="25"/>
      <c r="B19" s="26"/>
      <c r="C19" s="26"/>
      <c r="D19" s="25"/>
      <c r="E19" s="25"/>
      <c r="F19" s="2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f t="shared" si="0"/>
        <v>241.5</v>
      </c>
      <c r="S19" s="5">
        <v>1</v>
      </c>
      <c r="T19" s="5">
        <v>23</v>
      </c>
      <c r="U19" s="5">
        <v>10.5</v>
      </c>
      <c r="V19" s="22"/>
    </row>
    <row r="20" spans="1:22" ht="14.25" customHeight="1">
      <c r="A20" s="25"/>
      <c r="B20" s="26"/>
      <c r="C20" s="26"/>
      <c r="D20" s="25"/>
      <c r="E20" s="25"/>
      <c r="F20" s="25"/>
      <c r="G20" s="5" t="s">
        <v>28</v>
      </c>
      <c r="H20" s="5" t="s">
        <v>29</v>
      </c>
      <c r="I20" s="5">
        <v>28.493262999999999</v>
      </c>
      <c r="J20" s="5">
        <v>76.997844999999998</v>
      </c>
      <c r="K20" s="5" t="s">
        <v>58</v>
      </c>
      <c r="L20" s="5"/>
      <c r="M20" s="5"/>
      <c r="N20" s="5"/>
      <c r="O20" s="5"/>
      <c r="P20" s="5" t="s">
        <v>57</v>
      </c>
      <c r="Q20" s="5"/>
      <c r="R20" s="5">
        <f t="shared" si="0"/>
        <v>266</v>
      </c>
      <c r="S20" s="5">
        <v>1</v>
      </c>
      <c r="T20" s="5">
        <v>28</v>
      </c>
      <c r="U20" s="5">
        <v>9.5</v>
      </c>
      <c r="V20" s="22"/>
    </row>
    <row r="21" spans="1:22" ht="14.25" customHeight="1">
      <c r="A21" s="25"/>
      <c r="B21" s="26"/>
      <c r="C21" s="26"/>
      <c r="D21" s="25"/>
      <c r="E21" s="25"/>
      <c r="F21" s="2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f t="shared" si="0"/>
        <v>456</v>
      </c>
      <c r="S21" s="5">
        <v>1</v>
      </c>
      <c r="T21" s="5">
        <v>57</v>
      </c>
      <c r="U21" s="5">
        <v>8</v>
      </c>
      <c r="V21" s="22"/>
    </row>
    <row r="22" spans="1:22" ht="14.25" customHeight="1">
      <c r="A22" s="25"/>
      <c r="B22" s="26"/>
      <c r="C22" s="26"/>
      <c r="D22" s="25"/>
      <c r="E22" s="25"/>
      <c r="F22" s="25"/>
      <c r="G22" s="5" t="s">
        <v>28</v>
      </c>
      <c r="H22" s="5" t="s">
        <v>29</v>
      </c>
      <c r="I22" s="5">
        <v>28.493462000000001</v>
      </c>
      <c r="J22" s="5">
        <v>76.997909000000007</v>
      </c>
      <c r="K22" s="5" t="s">
        <v>59</v>
      </c>
      <c r="L22" s="5"/>
      <c r="M22" s="5"/>
      <c r="N22" s="5"/>
      <c r="O22" s="5"/>
      <c r="P22" s="5" t="s">
        <v>57</v>
      </c>
      <c r="Q22" s="5"/>
      <c r="R22" s="5">
        <f t="shared" si="0"/>
        <v>403</v>
      </c>
      <c r="S22" s="5">
        <v>1</v>
      </c>
      <c r="T22" s="5">
        <v>62</v>
      </c>
      <c r="U22" s="5">
        <v>6.5</v>
      </c>
      <c r="V22" s="22"/>
    </row>
    <row r="23" spans="1:22" ht="14.25" customHeight="1">
      <c r="A23" s="25"/>
      <c r="B23" s="26"/>
      <c r="C23" s="26"/>
      <c r="D23" s="25"/>
      <c r="E23" s="25"/>
      <c r="F23" s="25"/>
      <c r="G23" s="5" t="s">
        <v>28</v>
      </c>
      <c r="H23" s="5" t="s">
        <v>29</v>
      </c>
      <c r="I23" s="5">
        <v>28.452159000000002</v>
      </c>
      <c r="J23" s="5">
        <v>76.989883000000006</v>
      </c>
      <c r="K23" s="5" t="s">
        <v>60</v>
      </c>
      <c r="L23" s="5"/>
      <c r="M23" s="5"/>
      <c r="N23" s="5"/>
      <c r="O23" s="5"/>
      <c r="P23" s="5" t="s">
        <v>53</v>
      </c>
      <c r="Q23" s="5"/>
      <c r="R23" s="5">
        <f t="shared" si="0"/>
        <v>858</v>
      </c>
      <c r="S23" s="5">
        <v>1</v>
      </c>
      <c r="T23" s="5">
        <v>52</v>
      </c>
      <c r="U23" s="5">
        <v>16.5</v>
      </c>
      <c r="V23" s="22"/>
    </row>
    <row r="24" spans="1:22" ht="14.25" customHeight="1">
      <c r="A24" s="25">
        <v>6</v>
      </c>
      <c r="B24" s="26" t="s">
        <v>48</v>
      </c>
      <c r="C24" s="26" t="s">
        <v>61</v>
      </c>
      <c r="D24" s="25" t="s">
        <v>25</v>
      </c>
      <c r="E24" s="25" t="s">
        <v>50</v>
      </c>
      <c r="F24" s="25" t="s">
        <v>62</v>
      </c>
      <c r="G24" s="5" t="s">
        <v>28</v>
      </c>
      <c r="H24" s="5" t="s">
        <v>29</v>
      </c>
      <c r="I24" s="5">
        <v>28.467161000000001</v>
      </c>
      <c r="J24" s="5">
        <v>77.087143999999995</v>
      </c>
      <c r="K24" s="5" t="s">
        <v>63</v>
      </c>
      <c r="L24" s="5"/>
      <c r="M24" s="5"/>
      <c r="N24" s="5"/>
      <c r="O24" s="5"/>
      <c r="P24" s="5" t="s">
        <v>64</v>
      </c>
      <c r="Q24" s="5"/>
      <c r="R24" s="5">
        <f t="shared" si="0"/>
        <v>90</v>
      </c>
      <c r="S24" s="5">
        <v>1</v>
      </c>
      <c r="T24" s="5">
        <v>12</v>
      </c>
      <c r="U24" s="5">
        <v>7.5</v>
      </c>
      <c r="V24" s="22"/>
    </row>
    <row r="25" spans="1:22" ht="14.25" customHeight="1">
      <c r="A25" s="25"/>
      <c r="B25" s="26"/>
      <c r="C25" s="26"/>
      <c r="D25" s="25"/>
      <c r="E25" s="25"/>
      <c r="F25" s="2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f t="shared" si="0"/>
        <v>72</v>
      </c>
      <c r="S25" s="5">
        <v>1</v>
      </c>
      <c r="T25" s="5">
        <v>9</v>
      </c>
      <c r="U25" s="5">
        <v>8</v>
      </c>
      <c r="V25" s="22"/>
    </row>
    <row r="26" spans="1:22" ht="14.25" customHeight="1">
      <c r="A26" s="25"/>
      <c r="B26" s="26"/>
      <c r="C26" s="26"/>
      <c r="D26" s="25"/>
      <c r="E26" s="25"/>
      <c r="F26" s="2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f t="shared" si="0"/>
        <v>28</v>
      </c>
      <c r="S26" s="5">
        <v>1</v>
      </c>
      <c r="T26" s="5">
        <v>7</v>
      </c>
      <c r="U26" s="5">
        <v>4</v>
      </c>
      <c r="V26" s="22"/>
    </row>
    <row r="27" spans="1:22" ht="14.25" customHeight="1">
      <c r="A27" s="25"/>
      <c r="B27" s="26"/>
      <c r="C27" s="26"/>
      <c r="D27" s="25"/>
      <c r="E27" s="25"/>
      <c r="F27" s="25"/>
      <c r="G27" s="5" t="s">
        <v>28</v>
      </c>
      <c r="H27" s="5" t="s">
        <v>29</v>
      </c>
      <c r="I27" s="5">
        <v>28.467151999999999</v>
      </c>
      <c r="J27" s="5">
        <v>77.087146000000004</v>
      </c>
      <c r="K27" s="5" t="s">
        <v>65</v>
      </c>
      <c r="L27" s="5"/>
      <c r="M27" s="5"/>
      <c r="N27" s="5"/>
      <c r="O27" s="5"/>
      <c r="P27" s="5" t="s">
        <v>64</v>
      </c>
      <c r="Q27" s="5"/>
      <c r="R27" s="5">
        <f t="shared" si="0"/>
        <v>110.5</v>
      </c>
      <c r="S27" s="5">
        <v>1</v>
      </c>
      <c r="T27" s="5">
        <v>13</v>
      </c>
      <c r="U27" s="5">
        <v>8.5</v>
      </c>
      <c r="V27" s="22"/>
    </row>
    <row r="28" spans="1:22" ht="14.25" customHeight="1">
      <c r="A28" s="25"/>
      <c r="B28" s="26"/>
      <c r="C28" s="26"/>
      <c r="D28" s="25"/>
      <c r="E28" s="25"/>
      <c r="F28" s="25"/>
      <c r="G28" s="5" t="s">
        <v>28</v>
      </c>
      <c r="H28" s="5" t="s">
        <v>29</v>
      </c>
      <c r="I28" s="5">
        <v>28.467098</v>
      </c>
      <c r="J28" s="5">
        <v>77.087287000000003</v>
      </c>
      <c r="K28" s="5" t="s">
        <v>66</v>
      </c>
      <c r="L28" s="5"/>
      <c r="M28" s="5"/>
      <c r="N28" s="5"/>
      <c r="O28" s="5"/>
      <c r="P28" s="5" t="s">
        <v>64</v>
      </c>
      <c r="Q28" s="5"/>
      <c r="R28" s="5">
        <f t="shared" si="0"/>
        <v>112.5</v>
      </c>
      <c r="S28" s="5">
        <v>1</v>
      </c>
      <c r="T28" s="5">
        <v>15</v>
      </c>
      <c r="U28" s="5">
        <v>7.5</v>
      </c>
      <c r="V28" s="22"/>
    </row>
    <row r="29" spans="1:22" ht="14.25" customHeight="1">
      <c r="A29" s="25"/>
      <c r="B29" s="26"/>
      <c r="C29" s="26"/>
      <c r="D29" s="25"/>
      <c r="E29" s="25"/>
      <c r="F29" s="25"/>
      <c r="G29" s="5" t="s">
        <v>28</v>
      </c>
      <c r="H29" s="5" t="s">
        <v>29</v>
      </c>
      <c r="I29" s="5">
        <v>28.467082999999999</v>
      </c>
      <c r="J29" s="5">
        <v>77.087270000000004</v>
      </c>
      <c r="K29" s="5" t="s">
        <v>67</v>
      </c>
      <c r="L29" s="5"/>
      <c r="M29" s="5"/>
      <c r="N29" s="5"/>
      <c r="O29" s="5"/>
      <c r="P29" s="5" t="s">
        <v>64</v>
      </c>
      <c r="Q29" s="5"/>
      <c r="R29" s="5">
        <f t="shared" si="0"/>
        <v>88</v>
      </c>
      <c r="S29" s="5">
        <v>1</v>
      </c>
      <c r="T29" s="5">
        <v>11</v>
      </c>
      <c r="U29" s="5">
        <v>8</v>
      </c>
      <c r="V29" s="22"/>
    </row>
    <row r="30" spans="1:22" ht="14.25" customHeight="1">
      <c r="A30" s="25">
        <v>7</v>
      </c>
      <c r="B30" s="26" t="s">
        <v>48</v>
      </c>
      <c r="C30" s="26" t="s">
        <v>68</v>
      </c>
      <c r="D30" s="25" t="s">
        <v>25</v>
      </c>
      <c r="E30" s="25" t="s">
        <v>50</v>
      </c>
      <c r="F30" s="25" t="s">
        <v>69</v>
      </c>
      <c r="G30" s="5" t="s">
        <v>28</v>
      </c>
      <c r="H30" s="5" t="s">
        <v>29</v>
      </c>
      <c r="I30" s="5">
        <v>28.364808</v>
      </c>
      <c r="J30" s="5">
        <v>77.074337</v>
      </c>
      <c r="K30" s="5" t="s">
        <v>70</v>
      </c>
      <c r="L30" s="5"/>
      <c r="M30" s="5"/>
      <c r="N30" s="5"/>
      <c r="O30" s="5"/>
      <c r="P30" s="5" t="s">
        <v>71</v>
      </c>
      <c r="Q30" s="5"/>
      <c r="R30" s="5">
        <f t="shared" si="0"/>
        <v>760</v>
      </c>
      <c r="S30" s="5">
        <v>1</v>
      </c>
      <c r="T30" s="5">
        <v>40</v>
      </c>
      <c r="U30" s="5">
        <v>19</v>
      </c>
      <c r="V30" s="22"/>
    </row>
    <row r="31" spans="1:22" ht="14.25" customHeight="1">
      <c r="A31" s="25"/>
      <c r="B31" s="26"/>
      <c r="C31" s="26"/>
      <c r="D31" s="25"/>
      <c r="E31" s="25"/>
      <c r="F31" s="25"/>
      <c r="G31" s="5" t="s">
        <v>28</v>
      </c>
      <c r="H31" s="5" t="s">
        <v>29</v>
      </c>
      <c r="I31" s="5">
        <v>28.364747000000001</v>
      </c>
      <c r="J31" s="5">
        <v>77.074375000000003</v>
      </c>
      <c r="K31" s="5" t="s">
        <v>72</v>
      </c>
      <c r="L31" s="5"/>
      <c r="M31" s="5"/>
      <c r="N31" s="5"/>
      <c r="O31" s="5"/>
      <c r="P31" s="5" t="s">
        <v>64</v>
      </c>
      <c r="Q31" s="5"/>
      <c r="R31" s="5">
        <f t="shared" si="0"/>
        <v>880</v>
      </c>
      <c r="S31" s="5">
        <v>1</v>
      </c>
      <c r="T31" s="5">
        <v>40</v>
      </c>
      <c r="U31" s="5">
        <v>22</v>
      </c>
      <c r="V31" s="22"/>
    </row>
    <row r="32" spans="1:22" ht="14.25" customHeight="1">
      <c r="A32" s="25">
        <v>8</v>
      </c>
      <c r="B32" s="26" t="s">
        <v>48</v>
      </c>
      <c r="C32" s="26" t="s">
        <v>73</v>
      </c>
      <c r="D32" s="25" t="s">
        <v>25</v>
      </c>
      <c r="E32" s="25" t="s">
        <v>50</v>
      </c>
      <c r="F32" s="25" t="s">
        <v>74</v>
      </c>
      <c r="G32" s="5" t="s">
        <v>28</v>
      </c>
      <c r="H32" s="5" t="s">
        <v>29</v>
      </c>
      <c r="I32" s="5">
        <v>28.497902</v>
      </c>
      <c r="J32" s="5">
        <v>77.054884999999999</v>
      </c>
      <c r="K32" s="5" t="s">
        <v>75</v>
      </c>
      <c r="L32" s="5"/>
      <c r="M32" s="5"/>
      <c r="N32" s="5"/>
      <c r="O32" s="5"/>
      <c r="P32" s="5" t="s">
        <v>64</v>
      </c>
      <c r="Q32" s="5"/>
      <c r="R32" s="5">
        <f t="shared" si="0"/>
        <v>518</v>
      </c>
      <c r="S32" s="5">
        <v>1</v>
      </c>
      <c r="T32" s="5">
        <v>37</v>
      </c>
      <c r="U32" s="5">
        <v>14</v>
      </c>
      <c r="V32" s="22"/>
    </row>
    <row r="33" spans="1:22" ht="14.25" customHeight="1">
      <c r="A33" s="25"/>
      <c r="B33" s="26"/>
      <c r="C33" s="26"/>
      <c r="D33" s="25"/>
      <c r="E33" s="25"/>
      <c r="F33" s="2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f t="shared" si="0"/>
        <v>168</v>
      </c>
      <c r="S33" s="5">
        <v>1</v>
      </c>
      <c r="T33" s="5">
        <v>14</v>
      </c>
      <c r="U33" s="5">
        <v>12</v>
      </c>
      <c r="V33" s="22"/>
    </row>
    <row r="34" spans="1:22" ht="14.25" customHeight="1">
      <c r="A34" s="25"/>
      <c r="B34" s="26"/>
      <c r="C34" s="26"/>
      <c r="D34" s="25"/>
      <c r="E34" s="25"/>
      <c r="F34" s="25"/>
      <c r="G34" s="5" t="s">
        <v>28</v>
      </c>
      <c r="H34" s="5" t="s">
        <v>29</v>
      </c>
      <c r="I34" s="5">
        <v>28.497931000000001</v>
      </c>
      <c r="J34" s="5">
        <v>77.054828999999998</v>
      </c>
      <c r="K34" s="5" t="s">
        <v>76</v>
      </c>
      <c r="L34" s="5"/>
      <c r="M34" s="5"/>
      <c r="N34" s="5"/>
      <c r="O34" s="5"/>
      <c r="P34" s="5" t="s">
        <v>64</v>
      </c>
      <c r="Q34" s="5"/>
      <c r="R34" s="5">
        <f t="shared" si="0"/>
        <v>375</v>
      </c>
      <c r="S34" s="5">
        <v>1</v>
      </c>
      <c r="T34" s="5">
        <v>25</v>
      </c>
      <c r="U34" s="5">
        <v>15</v>
      </c>
      <c r="V34" s="22"/>
    </row>
    <row r="35" spans="1:22" ht="14.25" customHeight="1">
      <c r="A35" s="25"/>
      <c r="B35" s="26"/>
      <c r="C35" s="26"/>
      <c r="D35" s="25"/>
      <c r="E35" s="25"/>
      <c r="F35" s="25"/>
      <c r="G35" s="5" t="s">
        <v>28</v>
      </c>
      <c r="H35" s="5" t="s">
        <v>29</v>
      </c>
      <c r="I35" s="5">
        <v>28.496300000000002</v>
      </c>
      <c r="J35" s="5">
        <v>77.057856999999998</v>
      </c>
      <c r="K35" s="5" t="s">
        <v>77</v>
      </c>
      <c r="L35" s="5"/>
      <c r="M35" s="5"/>
      <c r="N35" s="5"/>
      <c r="O35" s="5"/>
      <c r="P35" s="5" t="s">
        <v>64</v>
      </c>
      <c r="Q35" s="5"/>
      <c r="R35" s="5">
        <f t="shared" si="0"/>
        <v>1150.5</v>
      </c>
      <c r="S35" s="5">
        <v>1</v>
      </c>
      <c r="T35" s="5">
        <v>59</v>
      </c>
      <c r="U35" s="5">
        <v>19.5</v>
      </c>
      <c r="V35" s="22"/>
    </row>
    <row r="36" spans="1:22" ht="14.25" customHeight="1">
      <c r="A36" s="25">
        <v>9</v>
      </c>
      <c r="B36" s="26" t="s">
        <v>48</v>
      </c>
      <c r="C36" s="26" t="s">
        <v>78</v>
      </c>
      <c r="D36" s="25" t="s">
        <v>25</v>
      </c>
      <c r="E36" s="25" t="s">
        <v>50</v>
      </c>
      <c r="F36" s="25" t="s">
        <v>79</v>
      </c>
      <c r="G36" s="5" t="s">
        <v>28</v>
      </c>
      <c r="H36" s="5" t="s">
        <v>29</v>
      </c>
      <c r="I36" s="5">
        <v>29.048159999999999</v>
      </c>
      <c r="J36" s="5">
        <v>76.483393000000007</v>
      </c>
      <c r="K36" s="5" t="s">
        <v>80</v>
      </c>
      <c r="L36" s="5" t="s">
        <v>36</v>
      </c>
      <c r="M36" s="5"/>
      <c r="N36" s="5"/>
      <c r="O36" s="5"/>
      <c r="P36" s="5" t="s">
        <v>81</v>
      </c>
      <c r="Q36" s="5"/>
      <c r="R36" s="5">
        <f t="shared" si="0"/>
        <v>1200</v>
      </c>
      <c r="S36" s="5">
        <v>1</v>
      </c>
      <c r="T36" s="5">
        <v>80</v>
      </c>
      <c r="U36" s="5">
        <v>15</v>
      </c>
      <c r="V36" s="22"/>
    </row>
    <row r="37" spans="1:22" ht="14.25" customHeight="1">
      <c r="A37" s="25"/>
      <c r="B37" s="26"/>
      <c r="C37" s="26"/>
      <c r="D37" s="25"/>
      <c r="E37" s="25"/>
      <c r="F37" s="2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f t="shared" si="0"/>
        <v>54</v>
      </c>
      <c r="S37" s="5">
        <v>3</v>
      </c>
      <c r="T37" s="5">
        <v>6</v>
      </c>
      <c r="U37" s="5">
        <v>3</v>
      </c>
      <c r="V37" s="22"/>
    </row>
    <row r="38" spans="1:22" ht="14.25" customHeight="1">
      <c r="A38" s="25"/>
      <c r="B38" s="26"/>
      <c r="C38" s="26"/>
      <c r="D38" s="25"/>
      <c r="E38" s="25"/>
      <c r="F38" s="25"/>
      <c r="G38" s="5" t="s">
        <v>28</v>
      </c>
      <c r="H38" s="5" t="s">
        <v>29</v>
      </c>
      <c r="I38" s="5">
        <v>29.048449999999999</v>
      </c>
      <c r="J38" s="5">
        <v>76.483593999999997</v>
      </c>
      <c r="K38" s="5" t="s">
        <v>82</v>
      </c>
      <c r="L38" s="5"/>
      <c r="M38" s="5"/>
      <c r="N38" s="5"/>
      <c r="O38" s="5"/>
      <c r="P38" s="5" t="s">
        <v>81</v>
      </c>
      <c r="Q38" s="5"/>
      <c r="R38" s="5">
        <f t="shared" si="0"/>
        <v>198</v>
      </c>
      <c r="S38" s="5">
        <v>1</v>
      </c>
      <c r="T38" s="5">
        <v>33</v>
      </c>
      <c r="U38" s="5">
        <v>6</v>
      </c>
      <c r="V38" s="22"/>
    </row>
    <row r="39" spans="1:22" ht="14.25" customHeight="1">
      <c r="A39" s="25"/>
      <c r="B39" s="26"/>
      <c r="C39" s="26"/>
      <c r="D39" s="25"/>
      <c r="E39" s="25"/>
      <c r="F39" s="2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f t="shared" si="0"/>
        <v>240</v>
      </c>
      <c r="S39" s="5">
        <v>1</v>
      </c>
      <c r="T39" s="5">
        <v>40</v>
      </c>
      <c r="U39" s="5">
        <v>6</v>
      </c>
      <c r="V39" s="22"/>
    </row>
    <row r="40" spans="1:22" ht="14.25" customHeight="1">
      <c r="A40" s="25"/>
      <c r="B40" s="26"/>
      <c r="C40" s="26"/>
      <c r="D40" s="25"/>
      <c r="E40" s="25"/>
      <c r="F40" s="25"/>
      <c r="G40" s="5" t="s">
        <v>28</v>
      </c>
      <c r="H40" s="5" t="s">
        <v>29</v>
      </c>
      <c r="I40" s="5">
        <v>29.048354</v>
      </c>
      <c r="J40" s="5">
        <v>76.483095000000006</v>
      </c>
      <c r="K40" s="5" t="s">
        <v>83</v>
      </c>
      <c r="L40" s="5"/>
      <c r="M40" s="5"/>
      <c r="N40" s="5"/>
      <c r="O40" s="5"/>
      <c r="P40" s="5" t="s">
        <v>81</v>
      </c>
      <c r="Q40" s="5"/>
      <c r="R40" s="5">
        <f t="shared" si="0"/>
        <v>630</v>
      </c>
      <c r="S40" s="5">
        <v>1</v>
      </c>
      <c r="T40" s="5">
        <v>105</v>
      </c>
      <c r="U40" s="5">
        <v>6</v>
      </c>
      <c r="V40" s="22"/>
    </row>
    <row r="41" spans="1:22" ht="14.25" customHeight="1">
      <c r="A41" s="25"/>
      <c r="B41" s="26"/>
      <c r="C41" s="26"/>
      <c r="D41" s="25"/>
      <c r="E41" s="25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496</v>
      </c>
      <c r="S41" s="5">
        <v>1</v>
      </c>
      <c r="T41" s="5">
        <v>32</v>
      </c>
      <c r="U41" s="5">
        <v>15.5</v>
      </c>
      <c r="V41" s="22"/>
    </row>
    <row r="42" spans="1:22" ht="14.25" customHeight="1">
      <c r="A42" s="25">
        <v>10</v>
      </c>
      <c r="B42" s="26" t="s">
        <v>23</v>
      </c>
      <c r="C42" s="26" t="s">
        <v>84</v>
      </c>
      <c r="D42" s="25" t="s">
        <v>25</v>
      </c>
      <c r="E42" s="25" t="s">
        <v>85</v>
      </c>
      <c r="F42" s="25" t="s">
        <v>86</v>
      </c>
      <c r="G42" s="5" t="s">
        <v>28</v>
      </c>
      <c r="H42" s="5" t="s">
        <v>29</v>
      </c>
      <c r="I42" s="5">
        <v>29.31109</v>
      </c>
      <c r="J42" s="5">
        <v>76.314705000000004</v>
      </c>
      <c r="K42" s="5" t="s">
        <v>87</v>
      </c>
      <c r="L42" s="5"/>
      <c r="M42" s="5"/>
      <c r="N42" s="5"/>
      <c r="O42" s="5"/>
      <c r="P42" s="5" t="s">
        <v>88</v>
      </c>
      <c r="Q42" s="5"/>
      <c r="R42" s="5">
        <f t="shared" si="0"/>
        <v>460</v>
      </c>
      <c r="S42" s="5">
        <v>1</v>
      </c>
      <c r="T42" s="5">
        <v>20</v>
      </c>
      <c r="U42" s="5">
        <v>23</v>
      </c>
      <c r="V42" s="22"/>
    </row>
    <row r="43" spans="1:22" ht="14.25" customHeight="1">
      <c r="A43" s="25"/>
      <c r="B43" s="26"/>
      <c r="C43" s="26"/>
      <c r="D43" s="25"/>
      <c r="E43" s="25"/>
      <c r="F43" s="25"/>
      <c r="G43" s="5" t="s">
        <v>28</v>
      </c>
      <c r="H43" s="5" t="s">
        <v>29</v>
      </c>
      <c r="I43" s="5">
        <v>29.311548999999999</v>
      </c>
      <c r="J43" s="5">
        <v>76.314565000000002</v>
      </c>
      <c r="K43" s="5" t="s">
        <v>89</v>
      </c>
      <c r="L43" s="5"/>
      <c r="M43" s="5"/>
      <c r="N43" s="5"/>
      <c r="O43" s="5"/>
      <c r="P43" s="5" t="s">
        <v>88</v>
      </c>
      <c r="Q43" s="5"/>
      <c r="R43" s="5">
        <f t="shared" si="0"/>
        <v>285</v>
      </c>
      <c r="S43" s="5">
        <v>1</v>
      </c>
      <c r="T43" s="5">
        <v>30</v>
      </c>
      <c r="U43" s="5">
        <v>9.5</v>
      </c>
      <c r="V43" s="22"/>
    </row>
    <row r="44" spans="1:22" ht="14.25" customHeight="1">
      <c r="A44" s="25"/>
      <c r="B44" s="26"/>
      <c r="C44" s="26"/>
      <c r="D44" s="25"/>
      <c r="E44" s="25"/>
      <c r="F44" s="25"/>
      <c r="G44" s="5" t="s">
        <v>28</v>
      </c>
      <c r="H44" s="5" t="s">
        <v>29</v>
      </c>
      <c r="I44" s="5">
        <v>29.306000000000001</v>
      </c>
      <c r="J44" s="5">
        <v>76.319180000000003</v>
      </c>
      <c r="K44" s="5" t="s">
        <v>90</v>
      </c>
      <c r="L44" s="5"/>
      <c r="M44" s="5"/>
      <c r="N44" s="5"/>
      <c r="O44" s="5"/>
      <c r="P44" s="5" t="s">
        <v>88</v>
      </c>
      <c r="Q44" s="5"/>
      <c r="R44" s="5">
        <f t="shared" si="0"/>
        <v>1155</v>
      </c>
      <c r="S44" s="5">
        <v>1</v>
      </c>
      <c r="T44" s="5">
        <v>55</v>
      </c>
      <c r="U44" s="5">
        <v>21</v>
      </c>
      <c r="V44" s="22"/>
    </row>
    <row r="45" spans="1:22" ht="14.25" customHeight="1">
      <c r="A45" s="25">
        <v>11</v>
      </c>
      <c r="B45" s="26" t="s">
        <v>91</v>
      </c>
      <c r="C45" s="26" t="s">
        <v>92</v>
      </c>
      <c r="D45" s="26" t="s">
        <v>25</v>
      </c>
      <c r="E45" s="26" t="s">
        <v>93</v>
      </c>
      <c r="F45" s="27" t="s">
        <v>94</v>
      </c>
      <c r="G45" s="4" t="s">
        <v>28</v>
      </c>
      <c r="H45" s="4" t="s">
        <v>29</v>
      </c>
      <c r="I45" s="4">
        <v>29.411207000000001</v>
      </c>
      <c r="J45" s="5">
        <v>76.964428999999996</v>
      </c>
      <c r="K45" s="5" t="s">
        <v>95</v>
      </c>
      <c r="L45" s="5"/>
      <c r="M45" s="4"/>
      <c r="N45" s="4"/>
      <c r="O45" s="4"/>
      <c r="P45" s="9" t="s">
        <v>96</v>
      </c>
      <c r="Q45" s="4"/>
      <c r="R45" s="5">
        <f t="shared" si="0"/>
        <v>1364</v>
      </c>
      <c r="S45" s="5">
        <v>1</v>
      </c>
      <c r="T45" s="5">
        <v>62</v>
      </c>
      <c r="U45" s="5">
        <v>22</v>
      </c>
      <c r="V45" s="22"/>
    </row>
    <row r="46" spans="1:22" ht="14.25" customHeight="1">
      <c r="A46" s="25"/>
      <c r="B46" s="26"/>
      <c r="C46" s="26"/>
      <c r="D46" s="26"/>
      <c r="E46" s="26"/>
      <c r="F46" s="26"/>
      <c r="G46" s="4"/>
      <c r="H46" s="4"/>
      <c r="I46" s="4"/>
      <c r="J46" s="5"/>
      <c r="K46" s="5"/>
      <c r="L46" s="5"/>
      <c r="M46" s="4"/>
      <c r="N46" s="4"/>
      <c r="O46" s="4"/>
      <c r="P46" s="9"/>
      <c r="Q46" s="4"/>
      <c r="R46" s="5">
        <f t="shared" si="0"/>
        <v>294.5</v>
      </c>
      <c r="S46" s="5">
        <v>2</v>
      </c>
      <c r="T46" s="5">
        <v>15.5</v>
      </c>
      <c r="U46" s="5">
        <v>9.5</v>
      </c>
      <c r="V46" s="22"/>
    </row>
    <row r="47" spans="1:22" ht="14.25" customHeight="1">
      <c r="A47" s="25"/>
      <c r="B47" s="26"/>
      <c r="C47" s="26"/>
      <c r="D47" s="26"/>
      <c r="E47" s="26"/>
      <c r="F47" s="26"/>
      <c r="G47" s="4" t="s">
        <v>28</v>
      </c>
      <c r="H47" s="4" t="s">
        <v>29</v>
      </c>
      <c r="I47" s="4">
        <v>29.411116</v>
      </c>
      <c r="J47" s="5">
        <v>76.964472000000001</v>
      </c>
      <c r="K47" s="5" t="s">
        <v>97</v>
      </c>
      <c r="L47" s="5"/>
      <c r="M47" s="4"/>
      <c r="N47" s="4"/>
      <c r="O47" s="4"/>
      <c r="P47" s="9" t="s">
        <v>96</v>
      </c>
      <c r="Q47" s="4"/>
      <c r="R47" s="5">
        <f t="shared" si="0"/>
        <v>1273</v>
      </c>
      <c r="S47" s="5">
        <v>1</v>
      </c>
      <c r="T47" s="5">
        <v>67</v>
      </c>
      <c r="U47" s="5">
        <v>19</v>
      </c>
      <c r="V47" s="22"/>
    </row>
    <row r="48" spans="1:22" ht="14.25" customHeight="1">
      <c r="A48" s="25"/>
      <c r="B48" s="26"/>
      <c r="C48" s="26"/>
      <c r="D48" s="26"/>
      <c r="E48" s="26"/>
      <c r="F48" s="26"/>
      <c r="G48" s="4"/>
      <c r="H48" s="4"/>
      <c r="I48" s="4"/>
      <c r="J48" s="5"/>
      <c r="K48" s="5"/>
      <c r="L48" s="5"/>
      <c r="M48" s="4"/>
      <c r="N48" s="4"/>
      <c r="O48" s="4"/>
      <c r="P48" s="9"/>
      <c r="Q48" s="4"/>
      <c r="R48" s="5">
        <f t="shared" si="0"/>
        <v>190</v>
      </c>
      <c r="S48" s="5">
        <v>1</v>
      </c>
      <c r="T48" s="5">
        <v>19</v>
      </c>
      <c r="U48" s="5">
        <v>10</v>
      </c>
      <c r="V48" s="22"/>
    </row>
    <row r="49" spans="1:22" ht="14.25" customHeight="1">
      <c r="A49" s="25">
        <v>12</v>
      </c>
      <c r="B49" s="26" t="s">
        <v>91</v>
      </c>
      <c r="C49" s="26" t="s">
        <v>98</v>
      </c>
      <c r="D49" s="26" t="s">
        <v>25</v>
      </c>
      <c r="E49" s="26" t="s">
        <v>93</v>
      </c>
      <c r="F49" s="26" t="s">
        <v>99</v>
      </c>
      <c r="G49" s="4" t="s">
        <v>28</v>
      </c>
      <c r="H49" s="4" t="s">
        <v>29</v>
      </c>
      <c r="I49" s="4">
        <v>29.132020000000001</v>
      </c>
      <c r="J49" s="5">
        <v>76.698312000000001</v>
      </c>
      <c r="K49" s="5" t="s">
        <v>100</v>
      </c>
      <c r="L49" s="5"/>
      <c r="M49" s="5"/>
      <c r="N49" s="5"/>
      <c r="O49" s="5"/>
      <c r="P49" s="9" t="s">
        <v>101</v>
      </c>
      <c r="Q49" s="5"/>
      <c r="R49" s="5">
        <f t="shared" si="0"/>
        <v>1620</v>
      </c>
      <c r="S49" s="5">
        <v>1</v>
      </c>
      <c r="T49" s="5">
        <v>54</v>
      </c>
      <c r="U49" s="5">
        <v>30</v>
      </c>
      <c r="V49" s="22"/>
    </row>
    <row r="50" spans="1:22" ht="14.25" customHeight="1">
      <c r="A50" s="25"/>
      <c r="B50" s="26"/>
      <c r="C50" s="26"/>
      <c r="D50" s="26"/>
      <c r="E50" s="26"/>
      <c r="F50" s="26"/>
      <c r="G50" s="4"/>
      <c r="H50" s="4"/>
      <c r="I50" s="4"/>
      <c r="J50" s="5"/>
      <c r="K50" s="5"/>
      <c r="L50" s="5"/>
      <c r="M50" s="5"/>
      <c r="N50" s="5"/>
      <c r="O50" s="5"/>
      <c r="P50" s="9"/>
      <c r="Q50" s="5"/>
      <c r="R50" s="5">
        <f t="shared" si="0"/>
        <v>70</v>
      </c>
      <c r="S50" s="5">
        <v>1</v>
      </c>
      <c r="T50" s="5">
        <v>10</v>
      </c>
      <c r="U50" s="5">
        <v>7</v>
      </c>
      <c r="V50" s="22"/>
    </row>
    <row r="51" spans="1:22" ht="14.25" customHeight="1">
      <c r="A51" s="25"/>
      <c r="B51" s="26"/>
      <c r="C51" s="26"/>
      <c r="D51" s="26"/>
      <c r="E51" s="26"/>
      <c r="F51" s="26"/>
      <c r="G51" s="4" t="s">
        <v>28</v>
      </c>
      <c r="H51" s="4" t="s">
        <v>29</v>
      </c>
      <c r="I51" s="4">
        <v>29.132635000000001</v>
      </c>
      <c r="J51" s="5">
        <v>76.699813000000006</v>
      </c>
      <c r="K51" s="5" t="s">
        <v>102</v>
      </c>
      <c r="L51" s="5"/>
      <c r="M51" s="5"/>
      <c r="N51" s="5"/>
      <c r="O51" s="5"/>
      <c r="P51" s="5" t="s">
        <v>101</v>
      </c>
      <c r="Q51" s="5"/>
      <c r="R51" s="5">
        <f t="shared" si="0"/>
        <v>1290</v>
      </c>
      <c r="S51" s="5">
        <v>1</v>
      </c>
      <c r="T51" s="5">
        <v>64.5</v>
      </c>
      <c r="U51" s="5">
        <v>20</v>
      </c>
      <c r="V51" s="22"/>
    </row>
    <row r="52" spans="1:22" ht="14.25" customHeight="1">
      <c r="A52" s="25"/>
      <c r="B52" s="26"/>
      <c r="C52" s="26"/>
      <c r="D52" s="26"/>
      <c r="E52" s="26"/>
      <c r="F52" s="26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>
        <f t="shared" si="0"/>
        <v>60</v>
      </c>
      <c r="S52" s="5">
        <v>1</v>
      </c>
      <c r="T52" s="5">
        <v>6</v>
      </c>
      <c r="U52" s="5">
        <v>10</v>
      </c>
      <c r="V52" s="22"/>
    </row>
    <row r="53" spans="1:22" ht="14.25" customHeight="1">
      <c r="A53" s="25">
        <v>13</v>
      </c>
      <c r="B53" s="26" t="s">
        <v>91</v>
      </c>
      <c r="C53" s="26" t="s">
        <v>103</v>
      </c>
      <c r="D53" s="25" t="s">
        <v>25</v>
      </c>
      <c r="E53" s="25" t="s">
        <v>104</v>
      </c>
      <c r="F53" s="25" t="s">
        <v>105</v>
      </c>
      <c r="G53" s="4" t="s">
        <v>28</v>
      </c>
      <c r="H53" s="4" t="s">
        <v>29</v>
      </c>
      <c r="I53" s="4">
        <v>28.871006000000001</v>
      </c>
      <c r="J53" s="5">
        <v>76.921341999999996</v>
      </c>
      <c r="K53" s="5" t="s">
        <v>106</v>
      </c>
      <c r="L53" s="5"/>
      <c r="M53" s="5"/>
      <c r="N53" s="5"/>
      <c r="O53" s="5"/>
      <c r="P53" s="5" t="s">
        <v>107</v>
      </c>
      <c r="Q53" s="5"/>
      <c r="R53" s="5">
        <f t="shared" si="0"/>
        <v>350</v>
      </c>
      <c r="S53" s="5">
        <v>1</v>
      </c>
      <c r="T53" s="5">
        <v>35</v>
      </c>
      <c r="U53" s="5">
        <v>10</v>
      </c>
      <c r="V53" s="22"/>
    </row>
    <row r="54" spans="1:22" ht="14.25" customHeight="1">
      <c r="A54" s="25"/>
      <c r="B54" s="26"/>
      <c r="C54" s="26"/>
      <c r="D54" s="25"/>
      <c r="E54" s="25"/>
      <c r="F54" s="2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f t="shared" si="0"/>
        <v>1280</v>
      </c>
      <c r="S54" s="5">
        <v>1</v>
      </c>
      <c r="T54" s="5">
        <v>64</v>
      </c>
      <c r="U54" s="5">
        <v>20</v>
      </c>
      <c r="V54" s="22"/>
    </row>
    <row r="55" spans="1:22" ht="14.25" customHeight="1">
      <c r="A55" s="25"/>
      <c r="B55" s="26"/>
      <c r="C55" s="26"/>
      <c r="D55" s="25"/>
      <c r="E55" s="25"/>
      <c r="F55" s="25"/>
      <c r="G55" s="4" t="s">
        <v>108</v>
      </c>
      <c r="H55" s="4" t="s">
        <v>29</v>
      </c>
      <c r="I55" s="4">
        <v>28.870849</v>
      </c>
      <c r="J55" s="5">
        <v>76.921560999999997</v>
      </c>
      <c r="K55" s="5" t="s">
        <v>109</v>
      </c>
      <c r="L55" s="5"/>
      <c r="M55" s="5"/>
      <c r="N55" s="5"/>
      <c r="O55" s="5"/>
      <c r="P55" s="5" t="s">
        <v>107</v>
      </c>
      <c r="Q55" s="5"/>
      <c r="R55" s="5">
        <f t="shared" si="0"/>
        <v>275</v>
      </c>
      <c r="S55" s="5">
        <v>1</v>
      </c>
      <c r="T55" s="5">
        <v>22</v>
      </c>
      <c r="U55" s="5">
        <v>12.5</v>
      </c>
      <c r="V55" s="22"/>
    </row>
    <row r="56" spans="1:22" ht="14.25" customHeight="1">
      <c r="A56" s="25"/>
      <c r="B56" s="26"/>
      <c r="C56" s="26"/>
      <c r="D56" s="25"/>
      <c r="E56" s="25"/>
      <c r="F56" s="25"/>
      <c r="G56" s="4" t="s">
        <v>108</v>
      </c>
      <c r="H56" s="4" t="s">
        <v>29</v>
      </c>
      <c r="I56" s="4">
        <v>28.870929</v>
      </c>
      <c r="J56" s="5">
        <v>76.92174</v>
      </c>
      <c r="K56" s="5" t="s">
        <v>110</v>
      </c>
      <c r="L56" s="5"/>
      <c r="M56" s="5"/>
      <c r="N56" s="5"/>
      <c r="O56" s="5"/>
      <c r="P56" s="5" t="s">
        <v>107</v>
      </c>
      <c r="Q56" s="5"/>
      <c r="R56" s="5">
        <f t="shared" si="0"/>
        <v>625</v>
      </c>
      <c r="S56" s="5">
        <v>1</v>
      </c>
      <c r="T56" s="5">
        <v>50</v>
      </c>
      <c r="U56" s="5">
        <v>12.5</v>
      </c>
      <c r="V56" s="22"/>
    </row>
    <row r="57" spans="1:22" ht="14.25" customHeight="1">
      <c r="A57" s="25">
        <v>14</v>
      </c>
      <c r="B57" s="26" t="s">
        <v>91</v>
      </c>
      <c r="C57" s="26" t="s">
        <v>111</v>
      </c>
      <c r="D57" s="25" t="s">
        <v>112</v>
      </c>
      <c r="E57" s="25" t="s">
        <v>93</v>
      </c>
      <c r="F57" s="25" t="s">
        <v>113</v>
      </c>
      <c r="G57" s="4" t="s">
        <v>28</v>
      </c>
      <c r="H57" s="4" t="s">
        <v>29</v>
      </c>
      <c r="I57" s="4">
        <v>28.705145999999999</v>
      </c>
      <c r="J57" s="5">
        <v>76.905219000000002</v>
      </c>
      <c r="K57" s="5" t="s">
        <v>114</v>
      </c>
      <c r="L57" s="5"/>
      <c r="M57" s="5"/>
      <c r="N57" s="5"/>
      <c r="O57" s="5"/>
      <c r="P57" s="5" t="s">
        <v>107</v>
      </c>
      <c r="Q57" s="5"/>
      <c r="R57" s="5">
        <f t="shared" si="0"/>
        <v>315</v>
      </c>
      <c r="S57" s="5">
        <v>1</v>
      </c>
      <c r="T57" s="5">
        <v>30</v>
      </c>
      <c r="U57" s="5">
        <v>10.5</v>
      </c>
      <c r="V57" s="22"/>
    </row>
    <row r="58" spans="1:22" ht="14.25" customHeight="1">
      <c r="A58" s="25"/>
      <c r="B58" s="26"/>
      <c r="C58" s="26"/>
      <c r="D58" s="25"/>
      <c r="E58" s="25"/>
      <c r="F58" s="25"/>
      <c r="G58" s="4"/>
      <c r="H58" s="4"/>
      <c r="I58" s="4"/>
      <c r="J58" s="5"/>
      <c r="K58" s="5"/>
      <c r="L58" s="5"/>
      <c r="M58" s="5"/>
      <c r="N58" s="5"/>
      <c r="O58" s="5"/>
      <c r="P58" s="5"/>
      <c r="Q58" s="5"/>
      <c r="R58" s="5">
        <f t="shared" si="0"/>
        <v>36</v>
      </c>
      <c r="S58" s="5">
        <v>1</v>
      </c>
      <c r="T58" s="5">
        <v>6</v>
      </c>
      <c r="U58" s="5">
        <v>6</v>
      </c>
      <c r="V58" s="22"/>
    </row>
    <row r="59" spans="1:22" ht="14.25" customHeight="1">
      <c r="A59" s="25"/>
      <c r="B59" s="26"/>
      <c r="C59" s="26"/>
      <c r="D59" s="25"/>
      <c r="E59" s="25"/>
      <c r="F59" s="25"/>
      <c r="G59" s="4" t="s">
        <v>108</v>
      </c>
      <c r="H59" s="4" t="s">
        <v>29</v>
      </c>
      <c r="I59" s="4">
        <v>28.705124999999999</v>
      </c>
      <c r="J59" s="5">
        <v>76.905208999999999</v>
      </c>
      <c r="K59" s="5" t="s">
        <v>115</v>
      </c>
      <c r="L59" s="5"/>
      <c r="M59" s="5"/>
      <c r="N59" s="5"/>
      <c r="O59" s="5"/>
      <c r="P59" s="5" t="s">
        <v>116</v>
      </c>
      <c r="Q59" s="5"/>
      <c r="R59" s="5">
        <f t="shared" si="0"/>
        <v>157.5</v>
      </c>
      <c r="S59" s="5">
        <v>1</v>
      </c>
      <c r="T59" s="5">
        <v>15</v>
      </c>
      <c r="U59" s="5">
        <v>10.5</v>
      </c>
      <c r="V59" s="22"/>
    </row>
    <row r="60" spans="1:22" ht="14.25" customHeight="1">
      <c r="A60" s="25"/>
      <c r="B60" s="26"/>
      <c r="C60" s="26"/>
      <c r="D60" s="25"/>
      <c r="E60" s="25"/>
      <c r="F60" s="2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f t="shared" si="0"/>
        <v>36</v>
      </c>
      <c r="S60" s="5">
        <v>1</v>
      </c>
      <c r="T60" s="5">
        <v>6</v>
      </c>
      <c r="U60" s="5">
        <v>6</v>
      </c>
      <c r="V60" s="22"/>
    </row>
    <row r="61" spans="1:22" ht="14.25" customHeight="1">
      <c r="A61" s="25"/>
      <c r="B61" s="26"/>
      <c r="C61" s="26"/>
      <c r="D61" s="25"/>
      <c r="E61" s="25"/>
      <c r="F61" s="25"/>
      <c r="G61" s="5" t="s">
        <v>28</v>
      </c>
      <c r="H61" s="5" t="s">
        <v>29</v>
      </c>
      <c r="I61" s="5">
        <v>28.705141000000001</v>
      </c>
      <c r="J61" s="5">
        <v>76.905214999999998</v>
      </c>
      <c r="K61" s="5" t="s">
        <v>117</v>
      </c>
      <c r="L61" s="5"/>
      <c r="M61" s="5"/>
      <c r="N61" s="5"/>
      <c r="O61" s="5"/>
      <c r="P61" s="5" t="s">
        <v>116</v>
      </c>
      <c r="Q61" s="5"/>
      <c r="R61" s="5">
        <f t="shared" si="0"/>
        <v>94.5</v>
      </c>
      <c r="S61" s="5">
        <v>1</v>
      </c>
      <c r="T61" s="5">
        <v>9</v>
      </c>
      <c r="U61" s="5">
        <v>10.5</v>
      </c>
      <c r="V61" s="22"/>
    </row>
    <row r="62" spans="1:22" ht="14.25" customHeight="1">
      <c r="A62" s="25"/>
      <c r="B62" s="26"/>
      <c r="C62" s="26"/>
      <c r="D62" s="25"/>
      <c r="E62" s="25"/>
      <c r="F62" s="25"/>
      <c r="G62" s="5" t="s">
        <v>28</v>
      </c>
      <c r="H62" s="5" t="s">
        <v>29</v>
      </c>
      <c r="I62" s="5">
        <v>28.70515</v>
      </c>
      <c r="J62" s="5">
        <v>76.905218000000005</v>
      </c>
      <c r="K62" s="5" t="s">
        <v>118</v>
      </c>
      <c r="L62" s="5"/>
      <c r="M62" s="5"/>
      <c r="N62" s="5"/>
      <c r="O62" s="5"/>
      <c r="P62" s="5" t="s">
        <v>116</v>
      </c>
      <c r="Q62" s="5"/>
      <c r="R62" s="5">
        <f t="shared" si="0"/>
        <v>99.75</v>
      </c>
      <c r="S62" s="5">
        <v>1</v>
      </c>
      <c r="T62" s="5">
        <v>9.5</v>
      </c>
      <c r="U62" s="5">
        <v>10.5</v>
      </c>
      <c r="V62" s="22"/>
    </row>
    <row r="63" spans="1:22" ht="14.25" customHeight="1">
      <c r="A63" s="25"/>
      <c r="B63" s="26"/>
      <c r="C63" s="26"/>
      <c r="D63" s="25"/>
      <c r="E63" s="25"/>
      <c r="F63" s="25"/>
      <c r="G63" s="5" t="s">
        <v>119</v>
      </c>
      <c r="H63" s="5" t="s">
        <v>119</v>
      </c>
      <c r="I63" s="5"/>
      <c r="J63" s="5"/>
      <c r="K63" s="5"/>
      <c r="L63" s="5"/>
      <c r="M63" s="5"/>
      <c r="N63" s="5"/>
      <c r="O63" s="5"/>
      <c r="P63" s="5"/>
      <c r="Q63" s="5"/>
      <c r="R63" s="5">
        <f t="shared" si="0"/>
        <v>36</v>
      </c>
      <c r="S63" s="5">
        <v>1</v>
      </c>
      <c r="T63" s="5">
        <v>6</v>
      </c>
      <c r="U63" s="5">
        <v>6</v>
      </c>
      <c r="V63" s="22"/>
    </row>
    <row r="64" spans="1:22" ht="14.25" customHeight="1">
      <c r="A64" s="25"/>
      <c r="B64" s="26"/>
      <c r="C64" s="26"/>
      <c r="D64" s="25"/>
      <c r="E64" s="25"/>
      <c r="F64" s="25"/>
      <c r="G64" s="5" t="s">
        <v>28</v>
      </c>
      <c r="H64" s="5" t="s">
        <v>29</v>
      </c>
      <c r="I64" s="5">
        <v>28.717576999999999</v>
      </c>
      <c r="J64" s="5">
        <v>76.885007000000002</v>
      </c>
      <c r="K64" s="5" t="s">
        <v>120</v>
      </c>
      <c r="L64" s="5"/>
      <c r="M64" s="5"/>
      <c r="N64" s="5"/>
      <c r="O64" s="5"/>
      <c r="P64" s="5" t="s">
        <v>116</v>
      </c>
      <c r="Q64" s="5"/>
      <c r="R64" s="5">
        <f t="shared" si="0"/>
        <v>1863</v>
      </c>
      <c r="S64" s="5">
        <v>1</v>
      </c>
      <c r="T64" s="5">
        <v>81</v>
      </c>
      <c r="U64" s="5">
        <v>23</v>
      </c>
      <c r="V64" s="22"/>
    </row>
    <row r="65" spans="1:22" ht="14.25" customHeight="1">
      <c r="A65" s="5">
        <v>15</v>
      </c>
      <c r="B65" s="4" t="s">
        <v>91</v>
      </c>
      <c r="C65" s="4" t="s">
        <v>121</v>
      </c>
      <c r="D65" s="5" t="s">
        <v>25</v>
      </c>
      <c r="E65" s="5" t="s">
        <v>122</v>
      </c>
      <c r="F65" s="5" t="s">
        <v>123</v>
      </c>
      <c r="G65" s="5" t="s">
        <v>28</v>
      </c>
      <c r="H65" s="5" t="s">
        <v>29</v>
      </c>
      <c r="I65" s="5">
        <v>28.594425999999999</v>
      </c>
      <c r="J65" s="5">
        <v>76.659828000000005</v>
      </c>
      <c r="K65" s="5" t="s">
        <v>124</v>
      </c>
      <c r="L65" s="5"/>
      <c r="M65" s="5"/>
      <c r="N65" s="5"/>
      <c r="O65" s="5"/>
      <c r="P65" s="5" t="s">
        <v>125</v>
      </c>
      <c r="Q65" s="5"/>
      <c r="R65" s="5">
        <f t="shared" si="0"/>
        <v>544.5</v>
      </c>
      <c r="S65" s="5">
        <v>1</v>
      </c>
      <c r="T65" s="5">
        <v>49.5</v>
      </c>
      <c r="U65" s="5">
        <v>11</v>
      </c>
      <c r="V65" s="22"/>
    </row>
    <row r="66" spans="1:22" ht="14.25" customHeight="1">
      <c r="A66" s="25">
        <v>16</v>
      </c>
      <c r="B66" s="26" t="s">
        <v>91</v>
      </c>
      <c r="C66" s="26" t="s">
        <v>126</v>
      </c>
      <c r="D66" s="25" t="s">
        <v>25</v>
      </c>
      <c r="E66" s="25" t="s">
        <v>127</v>
      </c>
      <c r="F66" s="25" t="s">
        <v>128</v>
      </c>
      <c r="G66" s="5" t="s">
        <v>108</v>
      </c>
      <c r="H66" s="5" t="s">
        <v>29</v>
      </c>
      <c r="I66" s="5">
        <v>28.923210999999998</v>
      </c>
      <c r="J66" s="5">
        <v>76.624120000000005</v>
      </c>
      <c r="K66" s="5" t="s">
        <v>63</v>
      </c>
      <c r="L66" s="5"/>
      <c r="M66" s="5"/>
      <c r="N66" s="5"/>
      <c r="O66" s="5"/>
      <c r="P66" s="5" t="s">
        <v>129</v>
      </c>
      <c r="Q66" s="5"/>
      <c r="R66" s="5">
        <f t="shared" si="0"/>
        <v>66</v>
      </c>
      <c r="S66" s="5">
        <v>1</v>
      </c>
      <c r="T66" s="5">
        <v>11</v>
      </c>
      <c r="U66" s="5">
        <v>6</v>
      </c>
      <c r="V66" s="22"/>
    </row>
    <row r="67" spans="1:22" ht="14.25" customHeight="1">
      <c r="A67" s="25"/>
      <c r="B67" s="26"/>
      <c r="C67" s="26"/>
      <c r="D67" s="25"/>
      <c r="E67" s="25"/>
      <c r="F67" s="25"/>
      <c r="G67" s="5" t="s">
        <v>108</v>
      </c>
      <c r="H67" s="5" t="s">
        <v>29</v>
      </c>
      <c r="I67" s="5">
        <v>28.923110000000001</v>
      </c>
      <c r="J67" s="5">
        <v>76.624111999999997</v>
      </c>
      <c r="K67" s="5" t="s">
        <v>65</v>
      </c>
      <c r="L67" s="5"/>
      <c r="M67" s="5"/>
      <c r="N67" s="5"/>
      <c r="O67" s="5"/>
      <c r="P67" s="5" t="s">
        <v>129</v>
      </c>
      <c r="Q67" s="5"/>
      <c r="R67" s="5">
        <f t="shared" ref="R67:R130" si="1">S67*T67*U67</f>
        <v>184</v>
      </c>
      <c r="S67" s="5">
        <v>1</v>
      </c>
      <c r="T67" s="5">
        <v>16</v>
      </c>
      <c r="U67" s="5">
        <v>11.5</v>
      </c>
      <c r="V67" s="22"/>
    </row>
    <row r="68" spans="1:22" ht="14.25" customHeight="1">
      <c r="A68" s="25"/>
      <c r="B68" s="26"/>
      <c r="C68" s="26"/>
      <c r="D68" s="25"/>
      <c r="E68" s="25"/>
      <c r="F68" s="2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f t="shared" si="1"/>
        <v>72</v>
      </c>
      <c r="S68" s="5">
        <v>1</v>
      </c>
      <c r="T68" s="5">
        <v>12</v>
      </c>
      <c r="U68" s="5">
        <v>6</v>
      </c>
      <c r="V68" s="22"/>
    </row>
    <row r="69" spans="1:22" ht="14.25" customHeight="1">
      <c r="A69" s="25"/>
      <c r="B69" s="26"/>
      <c r="C69" s="26"/>
      <c r="D69" s="25"/>
      <c r="E69" s="25"/>
      <c r="F69" s="2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>
        <f t="shared" si="1"/>
        <v>48</v>
      </c>
      <c r="S69" s="5">
        <v>1</v>
      </c>
      <c r="T69" s="5">
        <v>12</v>
      </c>
      <c r="U69" s="5">
        <v>4</v>
      </c>
      <c r="V69" s="22"/>
    </row>
    <row r="70" spans="1:22" ht="14.25" customHeight="1">
      <c r="A70" s="25"/>
      <c r="B70" s="26"/>
      <c r="C70" s="26"/>
      <c r="D70" s="25"/>
      <c r="E70" s="25"/>
      <c r="F70" s="25"/>
      <c r="G70" s="5" t="s">
        <v>28</v>
      </c>
      <c r="H70" s="5" t="s">
        <v>29</v>
      </c>
      <c r="I70" s="5">
        <v>28.923054</v>
      </c>
      <c r="J70" s="5">
        <v>76.624116000000001</v>
      </c>
      <c r="K70" s="5" t="s">
        <v>66</v>
      </c>
      <c r="L70" s="5"/>
      <c r="M70" s="5"/>
      <c r="N70" s="5"/>
      <c r="O70" s="5"/>
      <c r="P70" s="5" t="s">
        <v>129</v>
      </c>
      <c r="Q70" s="5"/>
      <c r="R70" s="5">
        <f t="shared" si="1"/>
        <v>362.25</v>
      </c>
      <c r="S70" s="5">
        <v>1</v>
      </c>
      <c r="T70" s="5">
        <v>31.5</v>
      </c>
      <c r="U70" s="5">
        <v>11.5</v>
      </c>
      <c r="V70" s="22"/>
    </row>
    <row r="71" spans="1:22" ht="14.25" customHeight="1">
      <c r="A71" s="25"/>
      <c r="B71" s="26"/>
      <c r="C71" s="26"/>
      <c r="D71" s="25"/>
      <c r="E71" s="25"/>
      <c r="F71" s="2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f t="shared" si="1"/>
        <v>16</v>
      </c>
      <c r="S71" s="5">
        <v>1</v>
      </c>
      <c r="T71" s="5">
        <v>4</v>
      </c>
      <c r="U71" s="5">
        <v>4</v>
      </c>
      <c r="V71" s="22"/>
    </row>
    <row r="72" spans="1:22" ht="14.25" customHeight="1">
      <c r="A72" s="25"/>
      <c r="B72" s="26"/>
      <c r="C72" s="26"/>
      <c r="D72" s="25"/>
      <c r="E72" s="25"/>
      <c r="F72" s="2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f t="shared" si="1"/>
        <v>35</v>
      </c>
      <c r="S72" s="5">
        <v>1</v>
      </c>
      <c r="T72" s="5">
        <v>7</v>
      </c>
      <c r="U72" s="5">
        <v>5</v>
      </c>
      <c r="V72" s="22"/>
    </row>
    <row r="73" spans="1:22" ht="14.25" customHeight="1">
      <c r="A73" s="25"/>
      <c r="B73" s="26"/>
      <c r="C73" s="26"/>
      <c r="D73" s="25"/>
      <c r="E73" s="25"/>
      <c r="F73" s="25"/>
      <c r="G73" s="5" t="s">
        <v>28</v>
      </c>
      <c r="H73" s="5" t="s">
        <v>29</v>
      </c>
      <c r="I73" s="5">
        <v>28.923029</v>
      </c>
      <c r="J73" s="5">
        <v>76.624075000000005</v>
      </c>
      <c r="K73" s="5" t="s">
        <v>67</v>
      </c>
      <c r="L73" s="5"/>
      <c r="M73" s="5"/>
      <c r="N73" s="5"/>
      <c r="O73" s="5"/>
      <c r="P73" s="5" t="s">
        <v>129</v>
      </c>
      <c r="Q73" s="5"/>
      <c r="R73" s="5">
        <f t="shared" si="1"/>
        <v>1043</v>
      </c>
      <c r="S73" s="5">
        <v>1</v>
      </c>
      <c r="T73" s="5">
        <v>74.5</v>
      </c>
      <c r="U73" s="5">
        <v>14</v>
      </c>
      <c r="V73" s="22"/>
    </row>
    <row r="74" spans="1:22" ht="14.25" customHeight="1">
      <c r="A74" s="25"/>
      <c r="B74" s="26"/>
      <c r="C74" s="26"/>
      <c r="D74" s="25"/>
      <c r="E74" s="25"/>
      <c r="F74" s="2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f t="shared" si="1"/>
        <v>96</v>
      </c>
      <c r="S74" s="5">
        <v>1</v>
      </c>
      <c r="T74" s="5">
        <v>24</v>
      </c>
      <c r="U74" s="5">
        <v>4</v>
      </c>
      <c r="V74" s="22"/>
    </row>
    <row r="75" spans="1:22" ht="14.25" customHeight="1">
      <c r="A75" s="25"/>
      <c r="B75" s="26"/>
      <c r="C75" s="26"/>
      <c r="D75" s="25"/>
      <c r="E75" s="25"/>
      <c r="F75" s="25"/>
      <c r="G75" s="5" t="s">
        <v>108</v>
      </c>
      <c r="H75" s="5" t="s">
        <v>29</v>
      </c>
      <c r="I75" s="5">
        <v>28.922982000000001</v>
      </c>
      <c r="J75" s="5">
        <v>76.624106999999995</v>
      </c>
      <c r="K75" s="5" t="s">
        <v>130</v>
      </c>
      <c r="L75" s="5"/>
      <c r="M75" s="5"/>
      <c r="N75" s="5"/>
      <c r="O75" s="5"/>
      <c r="P75" s="5" t="s">
        <v>129</v>
      </c>
      <c r="Q75" s="5"/>
      <c r="R75" s="5">
        <f t="shared" si="1"/>
        <v>642</v>
      </c>
      <c r="S75" s="5">
        <v>1</v>
      </c>
      <c r="T75" s="5">
        <v>53.5</v>
      </c>
      <c r="U75" s="5">
        <v>12</v>
      </c>
      <c r="V75" s="22"/>
    </row>
    <row r="76" spans="1:22" ht="14.25" customHeight="1">
      <c r="A76" s="25"/>
      <c r="B76" s="26"/>
      <c r="C76" s="26"/>
      <c r="D76" s="25"/>
      <c r="E76" s="25"/>
      <c r="F76" s="25"/>
      <c r="G76" s="5" t="s">
        <v>108</v>
      </c>
      <c r="H76" s="5" t="s">
        <v>29</v>
      </c>
      <c r="I76" s="5">
        <v>28.923268</v>
      </c>
      <c r="J76" s="5">
        <v>76.624149000000003</v>
      </c>
      <c r="K76" s="5" t="s">
        <v>131</v>
      </c>
      <c r="L76" s="5"/>
      <c r="M76" s="5"/>
      <c r="N76" s="5"/>
      <c r="O76" s="5"/>
      <c r="P76" s="5" t="s">
        <v>129</v>
      </c>
      <c r="Q76" s="5"/>
      <c r="R76" s="5">
        <f t="shared" si="1"/>
        <v>506</v>
      </c>
      <c r="S76" s="5">
        <v>1</v>
      </c>
      <c r="T76" s="5">
        <v>44</v>
      </c>
      <c r="U76" s="5">
        <v>11.5</v>
      </c>
      <c r="V76" s="22"/>
    </row>
    <row r="77" spans="1:22" ht="14.25" customHeight="1">
      <c r="A77" s="25"/>
      <c r="B77" s="26"/>
      <c r="C77" s="26"/>
      <c r="D77" s="25"/>
      <c r="E77" s="25"/>
      <c r="F77" s="2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f t="shared" si="1"/>
        <v>15.75</v>
      </c>
      <c r="S77" s="5">
        <v>1</v>
      </c>
      <c r="T77" s="5">
        <v>3.5</v>
      </c>
      <c r="U77" s="5">
        <v>4.5</v>
      </c>
      <c r="V77" s="22"/>
    </row>
    <row r="78" spans="1:22" ht="14.25" customHeight="1">
      <c r="A78" s="25"/>
      <c r="B78" s="26"/>
      <c r="C78" s="26"/>
      <c r="D78" s="25"/>
      <c r="E78" s="25"/>
      <c r="F78" s="2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f t="shared" si="1"/>
        <v>36</v>
      </c>
      <c r="S78" s="5">
        <v>1</v>
      </c>
      <c r="T78" s="5">
        <v>6</v>
      </c>
      <c r="U78" s="5">
        <v>6</v>
      </c>
      <c r="V78" s="22"/>
    </row>
    <row r="79" spans="1:22" ht="14.25" customHeight="1">
      <c r="A79" s="25"/>
      <c r="B79" s="26"/>
      <c r="C79" s="26"/>
      <c r="D79" s="25"/>
      <c r="E79" s="25"/>
      <c r="F79" s="2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f t="shared" si="1"/>
        <v>42</v>
      </c>
      <c r="S79" s="5">
        <v>1</v>
      </c>
      <c r="T79" s="5">
        <v>14</v>
      </c>
      <c r="U79" s="5">
        <v>3</v>
      </c>
      <c r="V79" s="22"/>
    </row>
    <row r="80" spans="1:22" ht="14.25" customHeight="1">
      <c r="A80" s="25">
        <v>17</v>
      </c>
      <c r="B80" s="26" t="s">
        <v>91</v>
      </c>
      <c r="C80" s="26" t="s">
        <v>132</v>
      </c>
      <c r="D80" s="25" t="s">
        <v>25</v>
      </c>
      <c r="E80" s="25" t="s">
        <v>127</v>
      </c>
      <c r="F80" s="25" t="s">
        <v>133</v>
      </c>
      <c r="G80" s="5" t="s">
        <v>28</v>
      </c>
      <c r="H80" s="5" t="s">
        <v>29</v>
      </c>
      <c r="I80" s="5">
        <v>28.885269000000001</v>
      </c>
      <c r="J80" s="5">
        <v>76.566733999999997</v>
      </c>
      <c r="K80" s="5" t="s">
        <v>70</v>
      </c>
      <c r="L80" s="5"/>
      <c r="M80" s="5"/>
      <c r="N80" s="5"/>
      <c r="O80" s="5"/>
      <c r="P80" s="5" t="s">
        <v>129</v>
      </c>
      <c r="Q80" s="5"/>
      <c r="R80" s="5">
        <f t="shared" si="1"/>
        <v>750</v>
      </c>
      <c r="S80" s="5">
        <v>1</v>
      </c>
      <c r="T80" s="5">
        <v>50</v>
      </c>
      <c r="U80" s="5">
        <v>15</v>
      </c>
      <c r="V80" s="22"/>
    </row>
    <row r="81" spans="1:22" ht="14.25" customHeight="1">
      <c r="A81" s="25"/>
      <c r="B81" s="26"/>
      <c r="C81" s="26"/>
      <c r="D81" s="25"/>
      <c r="E81" s="25"/>
      <c r="F81" s="25"/>
      <c r="G81" s="5" t="s">
        <v>28</v>
      </c>
      <c r="H81" s="5" t="s">
        <v>29</v>
      </c>
      <c r="I81" s="5">
        <v>28.890861000000001</v>
      </c>
      <c r="J81" s="5">
        <v>76.556573999999998</v>
      </c>
      <c r="K81" s="5" t="s">
        <v>72</v>
      </c>
      <c r="L81" s="5" t="s">
        <v>134</v>
      </c>
      <c r="M81" s="5"/>
      <c r="N81" s="5"/>
      <c r="O81" s="5"/>
      <c r="P81" s="5" t="s">
        <v>129</v>
      </c>
      <c r="Q81" s="5"/>
      <c r="R81" s="5">
        <f t="shared" si="1"/>
        <v>540</v>
      </c>
      <c r="S81" s="5">
        <v>1</v>
      </c>
      <c r="T81" s="5">
        <v>27</v>
      </c>
      <c r="U81" s="5">
        <v>20</v>
      </c>
      <c r="V81" s="22"/>
    </row>
    <row r="82" spans="1:22" ht="14.25" customHeight="1">
      <c r="A82" s="25">
        <v>18</v>
      </c>
      <c r="B82" s="26" t="s">
        <v>91</v>
      </c>
      <c r="C82" s="26" t="s">
        <v>135</v>
      </c>
      <c r="D82" s="25" t="s">
        <v>25</v>
      </c>
      <c r="E82" s="25" t="s">
        <v>127</v>
      </c>
      <c r="F82" s="25" t="s">
        <v>136</v>
      </c>
      <c r="G82" s="5" t="s">
        <v>28</v>
      </c>
      <c r="H82" s="5" t="s">
        <v>29</v>
      </c>
      <c r="I82" s="5">
        <v>28.916829</v>
      </c>
      <c r="J82" s="5">
        <v>76.594048000000001</v>
      </c>
      <c r="K82" s="5" t="s">
        <v>137</v>
      </c>
      <c r="L82" s="5"/>
      <c r="M82" s="5"/>
      <c r="N82" s="5"/>
      <c r="O82" s="5"/>
      <c r="P82" s="5" t="s">
        <v>138</v>
      </c>
      <c r="Q82" s="5"/>
      <c r="R82" s="5">
        <f t="shared" si="1"/>
        <v>575</v>
      </c>
      <c r="S82" s="5">
        <v>1</v>
      </c>
      <c r="T82" s="5">
        <v>50</v>
      </c>
      <c r="U82" s="5">
        <v>11.5</v>
      </c>
      <c r="V82" s="22"/>
    </row>
    <row r="83" spans="1:22" ht="14.25" customHeight="1">
      <c r="A83" s="25"/>
      <c r="B83" s="26"/>
      <c r="C83" s="26"/>
      <c r="D83" s="25"/>
      <c r="E83" s="25"/>
      <c r="F83" s="25"/>
      <c r="G83" s="5" t="s">
        <v>28</v>
      </c>
      <c r="H83" s="5" t="s">
        <v>29</v>
      </c>
      <c r="I83" s="5">
        <v>28.916916000000001</v>
      </c>
      <c r="J83" s="5">
        <v>76.594012000000006</v>
      </c>
      <c r="K83" s="5" t="s">
        <v>139</v>
      </c>
      <c r="L83" s="5"/>
      <c r="M83" s="5"/>
      <c r="N83" s="5"/>
      <c r="O83" s="5"/>
      <c r="P83" s="5" t="s">
        <v>138</v>
      </c>
      <c r="Q83" s="5"/>
      <c r="R83" s="5">
        <f t="shared" si="1"/>
        <v>525</v>
      </c>
      <c r="S83" s="5">
        <v>1</v>
      </c>
      <c r="T83" s="5">
        <v>42</v>
      </c>
      <c r="U83" s="5">
        <v>12.5</v>
      </c>
      <c r="V83" s="22"/>
    </row>
    <row r="84" spans="1:22" ht="14.25" customHeight="1">
      <c r="A84" s="25"/>
      <c r="B84" s="26"/>
      <c r="C84" s="26"/>
      <c r="D84" s="25"/>
      <c r="E84" s="25"/>
      <c r="F84" s="2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f t="shared" si="1"/>
        <v>52.5</v>
      </c>
      <c r="S84" s="5">
        <v>1</v>
      </c>
      <c r="T84" s="5">
        <v>7</v>
      </c>
      <c r="U84" s="5">
        <v>7.5</v>
      </c>
      <c r="V84" s="22"/>
    </row>
    <row r="85" spans="1:22" ht="14.25" customHeight="1">
      <c r="A85" s="25"/>
      <c r="B85" s="26"/>
      <c r="C85" s="26"/>
      <c r="D85" s="25"/>
      <c r="E85" s="25"/>
      <c r="F85" s="2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f t="shared" si="1"/>
        <v>189</v>
      </c>
      <c r="S85" s="5">
        <v>1</v>
      </c>
      <c r="T85" s="5">
        <v>18</v>
      </c>
      <c r="U85" s="5">
        <v>10.5</v>
      </c>
      <c r="V85" s="22"/>
    </row>
    <row r="86" spans="1:22" ht="14.25" customHeight="1">
      <c r="A86" s="25"/>
      <c r="B86" s="26"/>
      <c r="C86" s="26"/>
      <c r="D86" s="25"/>
      <c r="E86" s="25"/>
      <c r="F86" s="2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f t="shared" si="1"/>
        <v>54</v>
      </c>
      <c r="S86" s="5">
        <v>3</v>
      </c>
      <c r="T86" s="5">
        <v>3</v>
      </c>
      <c r="U86" s="5">
        <v>6</v>
      </c>
      <c r="V86" s="22"/>
    </row>
    <row r="87" spans="1:22" ht="14.25" customHeight="1">
      <c r="A87" s="25"/>
      <c r="B87" s="26"/>
      <c r="C87" s="26"/>
      <c r="D87" s="25"/>
      <c r="E87" s="25"/>
      <c r="F87" s="25"/>
      <c r="G87" s="5" t="s">
        <v>28</v>
      </c>
      <c r="H87" s="5" t="s">
        <v>29</v>
      </c>
      <c r="I87" s="5">
        <v>28.916974</v>
      </c>
      <c r="J87" s="5">
        <v>76593752</v>
      </c>
      <c r="K87" s="5" t="s">
        <v>140</v>
      </c>
      <c r="L87" s="5"/>
      <c r="M87" s="5"/>
      <c r="N87" s="5"/>
      <c r="O87" s="5"/>
      <c r="P87" s="5" t="s">
        <v>138</v>
      </c>
      <c r="Q87" s="5"/>
      <c r="R87" s="5">
        <f t="shared" si="1"/>
        <v>562.5</v>
      </c>
      <c r="S87" s="5">
        <v>1</v>
      </c>
      <c r="T87" s="5">
        <v>45</v>
      </c>
      <c r="U87" s="5">
        <v>12.5</v>
      </c>
      <c r="V87" s="22"/>
    </row>
    <row r="88" spans="1:22" ht="14.25" customHeight="1">
      <c r="A88" s="25"/>
      <c r="B88" s="26"/>
      <c r="C88" s="26"/>
      <c r="D88" s="25"/>
      <c r="E88" s="25"/>
      <c r="F88" s="2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>
        <f t="shared" si="1"/>
        <v>115</v>
      </c>
      <c r="S88" s="5">
        <v>1</v>
      </c>
      <c r="T88" s="5">
        <v>23</v>
      </c>
      <c r="U88" s="5">
        <v>5</v>
      </c>
      <c r="V88" s="22"/>
    </row>
    <row r="89" spans="1:22" ht="14.25" customHeight="1">
      <c r="A89" s="25">
        <v>19</v>
      </c>
      <c r="B89" s="26" t="s">
        <v>91</v>
      </c>
      <c r="C89" s="26" t="s">
        <v>141</v>
      </c>
      <c r="D89" s="25" t="s">
        <v>25</v>
      </c>
      <c r="E89" s="25" t="s">
        <v>127</v>
      </c>
      <c r="F89" s="25" t="s">
        <v>142</v>
      </c>
      <c r="G89" s="5" t="s">
        <v>28</v>
      </c>
      <c r="H89" s="5" t="s">
        <v>29</v>
      </c>
      <c r="I89" s="5">
        <v>28.981088</v>
      </c>
      <c r="J89" s="5">
        <v>76.526522</v>
      </c>
      <c r="K89" s="5" t="s">
        <v>80</v>
      </c>
      <c r="L89" s="5"/>
      <c r="M89" s="5"/>
      <c r="N89" s="5"/>
      <c r="O89" s="5"/>
      <c r="P89" s="5" t="s">
        <v>143</v>
      </c>
      <c r="Q89" s="5"/>
      <c r="R89" s="5">
        <f t="shared" si="1"/>
        <v>553</v>
      </c>
      <c r="S89" s="5">
        <v>1</v>
      </c>
      <c r="T89" s="5">
        <v>79</v>
      </c>
      <c r="U89" s="5">
        <v>7</v>
      </c>
      <c r="V89" s="22"/>
    </row>
    <row r="90" spans="1:22" ht="14.25" customHeight="1">
      <c r="A90" s="25"/>
      <c r="B90" s="26"/>
      <c r="C90" s="26"/>
      <c r="D90" s="25"/>
      <c r="E90" s="25"/>
      <c r="F90" s="2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f t="shared" si="1"/>
        <v>199.5</v>
      </c>
      <c r="S90" s="5">
        <v>1</v>
      </c>
      <c r="T90" s="5">
        <v>21</v>
      </c>
      <c r="U90" s="5">
        <v>9.5</v>
      </c>
      <c r="V90" s="22"/>
    </row>
    <row r="91" spans="1:22" ht="14.25" customHeight="1">
      <c r="A91" s="25"/>
      <c r="B91" s="26"/>
      <c r="C91" s="26"/>
      <c r="D91" s="25"/>
      <c r="E91" s="25"/>
      <c r="F91" s="25"/>
      <c r="G91" s="5" t="s">
        <v>28</v>
      </c>
      <c r="H91" s="5" t="s">
        <v>29</v>
      </c>
      <c r="I91" s="5">
        <v>28.981197000000002</v>
      </c>
      <c r="J91" s="5">
        <v>76524762</v>
      </c>
      <c r="K91" s="5" t="s">
        <v>144</v>
      </c>
      <c r="L91" s="5"/>
      <c r="M91" s="5"/>
      <c r="N91" s="5"/>
      <c r="O91" s="5"/>
      <c r="P91" s="5" t="s">
        <v>143</v>
      </c>
      <c r="Q91" s="5"/>
      <c r="R91" s="5">
        <f t="shared" si="1"/>
        <v>1115</v>
      </c>
      <c r="S91" s="5">
        <v>1</v>
      </c>
      <c r="T91" s="5">
        <v>111.5</v>
      </c>
      <c r="U91" s="5">
        <v>10</v>
      </c>
      <c r="V91" s="22"/>
    </row>
    <row r="92" spans="1:22" ht="14.25" customHeight="1">
      <c r="A92" s="25"/>
      <c r="B92" s="26"/>
      <c r="C92" s="26"/>
      <c r="D92" s="25"/>
      <c r="E92" s="25"/>
      <c r="F92" s="25"/>
      <c r="G92" s="5" t="s">
        <v>28</v>
      </c>
      <c r="H92" s="5" t="s">
        <v>29</v>
      </c>
      <c r="I92" s="5">
        <v>28.980637999999999</v>
      </c>
      <c r="J92" s="5">
        <v>76527194</v>
      </c>
      <c r="K92" s="5" t="s">
        <v>145</v>
      </c>
      <c r="L92" s="5"/>
      <c r="M92" s="5"/>
      <c r="N92" s="5"/>
      <c r="O92" s="5"/>
      <c r="P92" s="5" t="s">
        <v>143</v>
      </c>
      <c r="Q92" s="5"/>
      <c r="R92" s="5">
        <f t="shared" si="1"/>
        <v>360</v>
      </c>
      <c r="S92" s="5">
        <v>1</v>
      </c>
      <c r="T92" s="5">
        <v>72</v>
      </c>
      <c r="U92" s="5">
        <v>5</v>
      </c>
      <c r="V92" s="22"/>
    </row>
    <row r="93" spans="1:22" ht="14.25" customHeight="1">
      <c r="A93" s="25"/>
      <c r="B93" s="26"/>
      <c r="C93" s="26"/>
      <c r="D93" s="25"/>
      <c r="E93" s="25"/>
      <c r="F93" s="2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>
        <f t="shared" si="1"/>
        <v>156.75</v>
      </c>
      <c r="S93" s="5">
        <v>1</v>
      </c>
      <c r="T93" s="5">
        <v>16.5</v>
      </c>
      <c r="U93" s="5">
        <v>9.5</v>
      </c>
      <c r="V93" s="22"/>
    </row>
    <row r="94" spans="1:22" ht="14.25" customHeight="1">
      <c r="A94" s="25"/>
      <c r="B94" s="26"/>
      <c r="C94" s="26"/>
      <c r="D94" s="25"/>
      <c r="E94" s="25"/>
      <c r="F94" s="2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f t="shared" si="1"/>
        <v>36</v>
      </c>
      <c r="S94" s="5">
        <v>1</v>
      </c>
      <c r="T94" s="5">
        <v>6</v>
      </c>
      <c r="U94" s="5">
        <v>6</v>
      </c>
      <c r="V94" s="22"/>
    </row>
    <row r="95" spans="1:22" ht="14.25" customHeight="1">
      <c r="A95" s="25"/>
      <c r="B95" s="26"/>
      <c r="C95" s="26"/>
      <c r="D95" s="25"/>
      <c r="E95" s="25"/>
      <c r="F95" s="25"/>
      <c r="G95" s="5" t="s">
        <v>28</v>
      </c>
      <c r="H95" s="5" t="s">
        <v>29</v>
      </c>
      <c r="I95" s="5">
        <v>28.980069</v>
      </c>
      <c r="J95" s="5">
        <v>76527506</v>
      </c>
      <c r="K95" s="5" t="s">
        <v>146</v>
      </c>
      <c r="L95" s="5"/>
      <c r="M95" s="5"/>
      <c r="N95" s="5"/>
      <c r="O95" s="5"/>
      <c r="P95" s="5" t="s">
        <v>143</v>
      </c>
      <c r="Q95" s="5"/>
      <c r="R95" s="5">
        <f t="shared" si="1"/>
        <v>198</v>
      </c>
      <c r="S95" s="5">
        <v>1</v>
      </c>
      <c r="T95" s="5">
        <v>18</v>
      </c>
      <c r="U95" s="5">
        <v>11</v>
      </c>
      <c r="V95" s="22"/>
    </row>
    <row r="96" spans="1:22" ht="14.25" customHeight="1">
      <c r="A96" s="25"/>
      <c r="B96" s="26"/>
      <c r="C96" s="26"/>
      <c r="D96" s="25"/>
      <c r="E96" s="25"/>
      <c r="F96" s="2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f t="shared" si="1"/>
        <v>20</v>
      </c>
      <c r="S96" s="5">
        <v>1</v>
      </c>
      <c r="T96" s="5">
        <v>4</v>
      </c>
      <c r="U96" s="5">
        <v>5</v>
      </c>
      <c r="V96" s="22"/>
    </row>
    <row r="97" spans="1:22" ht="14.25" customHeight="1">
      <c r="A97" s="25">
        <v>20</v>
      </c>
      <c r="B97" s="26" t="s">
        <v>91</v>
      </c>
      <c r="C97" s="26" t="s">
        <v>147</v>
      </c>
      <c r="D97" s="25" t="s">
        <v>112</v>
      </c>
      <c r="E97" s="25" t="s">
        <v>127</v>
      </c>
      <c r="F97" s="25" t="s">
        <v>148</v>
      </c>
      <c r="G97" s="5" t="s">
        <v>28</v>
      </c>
      <c r="H97" s="5" t="s">
        <v>29</v>
      </c>
      <c r="I97" s="5">
        <v>28.765604</v>
      </c>
      <c r="J97" s="5">
        <v>76.764041199999994</v>
      </c>
      <c r="K97" s="5" t="s">
        <v>87</v>
      </c>
      <c r="L97" s="5"/>
      <c r="M97" s="5"/>
      <c r="N97" s="5"/>
      <c r="O97" s="5"/>
      <c r="P97" s="5" t="s">
        <v>149</v>
      </c>
      <c r="Q97" s="5"/>
      <c r="R97" s="5">
        <f t="shared" si="1"/>
        <v>506</v>
      </c>
      <c r="S97" s="5">
        <v>1</v>
      </c>
      <c r="T97" s="5">
        <v>44</v>
      </c>
      <c r="U97" s="5">
        <v>11.5</v>
      </c>
      <c r="V97" s="22"/>
    </row>
    <row r="98" spans="1:22" ht="14.25" customHeight="1">
      <c r="A98" s="25"/>
      <c r="B98" s="26"/>
      <c r="C98" s="26"/>
      <c r="D98" s="25"/>
      <c r="E98" s="25"/>
      <c r="F98" s="25"/>
      <c r="G98" s="5" t="s">
        <v>28</v>
      </c>
      <c r="H98" s="5" t="s">
        <v>29</v>
      </c>
      <c r="I98" s="5">
        <v>28.765739</v>
      </c>
      <c r="J98" s="5">
        <v>76.764234999999999</v>
      </c>
      <c r="K98" s="5" t="s">
        <v>89</v>
      </c>
      <c r="L98" s="5"/>
      <c r="M98" s="5"/>
      <c r="N98" s="5"/>
      <c r="O98" s="5"/>
      <c r="P98" s="5" t="s">
        <v>149</v>
      </c>
      <c r="Q98" s="5"/>
      <c r="R98" s="5">
        <f t="shared" si="1"/>
        <v>640</v>
      </c>
      <c r="S98" s="5">
        <v>1</v>
      </c>
      <c r="T98" s="5">
        <v>40</v>
      </c>
      <c r="U98" s="5">
        <v>16</v>
      </c>
      <c r="V98" s="22"/>
    </row>
    <row r="99" spans="1:22" ht="14.25" customHeight="1">
      <c r="A99" s="25"/>
      <c r="B99" s="26"/>
      <c r="C99" s="26"/>
      <c r="D99" s="25"/>
      <c r="E99" s="25"/>
      <c r="F99" s="25"/>
      <c r="G99" s="5" t="s">
        <v>28</v>
      </c>
      <c r="H99" s="5" t="s">
        <v>29</v>
      </c>
      <c r="I99" s="5">
        <v>28.765654000000001</v>
      </c>
      <c r="J99" s="5">
        <v>76.764169999999993</v>
      </c>
      <c r="K99" s="5" t="s">
        <v>90</v>
      </c>
      <c r="L99" s="5"/>
      <c r="M99" s="5"/>
      <c r="N99" s="5"/>
      <c r="O99" s="5"/>
      <c r="P99" s="5">
        <v>12.012026000000001</v>
      </c>
      <c r="Q99" s="5"/>
      <c r="R99" s="5">
        <f t="shared" si="1"/>
        <v>1440</v>
      </c>
      <c r="S99" s="5">
        <v>1</v>
      </c>
      <c r="T99" s="5">
        <v>90</v>
      </c>
      <c r="U99" s="5">
        <v>16</v>
      </c>
      <c r="V99" s="22"/>
    </row>
    <row r="100" spans="1:22" ht="14.25" customHeight="1">
      <c r="A100" s="25"/>
      <c r="B100" s="26"/>
      <c r="C100" s="26"/>
      <c r="D100" s="25"/>
      <c r="E100" s="25"/>
      <c r="F100" s="2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>
        <f t="shared" si="1"/>
        <v>115</v>
      </c>
      <c r="S100" s="5">
        <v>1</v>
      </c>
      <c r="T100" s="5">
        <v>10</v>
      </c>
      <c r="U100" s="5">
        <v>11.5</v>
      </c>
      <c r="V100" s="22"/>
    </row>
    <row r="101" spans="1:22" ht="14.25" customHeight="1">
      <c r="A101" s="25"/>
      <c r="B101" s="26"/>
      <c r="C101" s="26"/>
      <c r="D101" s="25"/>
      <c r="E101" s="25"/>
      <c r="F101" s="2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>
        <f t="shared" si="1"/>
        <v>152</v>
      </c>
      <c r="S101" s="5">
        <v>1</v>
      </c>
      <c r="T101" s="5">
        <v>38</v>
      </c>
      <c r="U101" s="5">
        <v>4</v>
      </c>
      <c r="V101" s="22"/>
    </row>
    <row r="102" spans="1:22" ht="14.25" customHeight="1">
      <c r="A102" s="25"/>
      <c r="B102" s="26"/>
      <c r="C102" s="26"/>
      <c r="D102" s="25"/>
      <c r="E102" s="25"/>
      <c r="F102" s="25"/>
      <c r="G102" s="5" t="s">
        <v>28</v>
      </c>
      <c r="H102" s="5" t="s">
        <v>29</v>
      </c>
      <c r="I102" s="5">
        <v>28.765301000000001</v>
      </c>
      <c r="J102" s="5">
        <v>76.763824</v>
      </c>
      <c r="K102" s="5" t="s">
        <v>150</v>
      </c>
      <c r="L102" s="5"/>
      <c r="M102" s="5"/>
      <c r="N102" s="5"/>
      <c r="O102" s="5"/>
      <c r="P102" s="5" t="s">
        <v>149</v>
      </c>
      <c r="Q102" s="5"/>
      <c r="R102" s="5">
        <f t="shared" si="1"/>
        <v>430</v>
      </c>
      <c r="S102" s="5">
        <v>1</v>
      </c>
      <c r="T102" s="5">
        <v>43</v>
      </c>
      <c r="U102" s="5">
        <v>10</v>
      </c>
      <c r="V102" s="22"/>
    </row>
    <row r="103" spans="1:22" ht="14.25" customHeight="1">
      <c r="A103" s="25"/>
      <c r="B103" s="26"/>
      <c r="C103" s="26"/>
      <c r="D103" s="25"/>
      <c r="E103" s="25"/>
      <c r="F103" s="2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>
        <f t="shared" si="1"/>
        <v>364</v>
      </c>
      <c r="S103" s="5">
        <v>1</v>
      </c>
      <c r="T103" s="5">
        <v>56</v>
      </c>
      <c r="U103" s="5">
        <v>6.5</v>
      </c>
      <c r="V103" s="22"/>
    </row>
    <row r="104" spans="1:22" ht="14.25" customHeight="1">
      <c r="A104" s="25">
        <v>21</v>
      </c>
      <c r="B104" s="26" t="s">
        <v>48</v>
      </c>
      <c r="C104" s="26" t="s">
        <v>151</v>
      </c>
      <c r="D104" s="25" t="s">
        <v>25</v>
      </c>
      <c r="E104" s="25" t="s">
        <v>50</v>
      </c>
      <c r="F104" s="25" t="s">
        <v>152</v>
      </c>
      <c r="G104" s="5" t="s">
        <v>28</v>
      </c>
      <c r="H104" s="5" t="s">
        <v>29</v>
      </c>
      <c r="I104" s="5">
        <v>28.460685999999999</v>
      </c>
      <c r="J104" s="5">
        <v>76.833646000000002</v>
      </c>
      <c r="K104" s="5" t="s">
        <v>153</v>
      </c>
      <c r="L104" s="5"/>
      <c r="M104" s="5"/>
      <c r="N104" s="5"/>
      <c r="O104" s="5"/>
      <c r="P104" s="5" t="s">
        <v>53</v>
      </c>
      <c r="Q104" s="5"/>
      <c r="R104" s="5">
        <f t="shared" si="1"/>
        <v>857.5</v>
      </c>
      <c r="S104" s="5">
        <v>1</v>
      </c>
      <c r="T104" s="5">
        <v>122.5</v>
      </c>
      <c r="U104" s="5">
        <v>7</v>
      </c>
      <c r="V104" s="22"/>
    </row>
    <row r="105" spans="1:22" ht="14.25" customHeight="1">
      <c r="A105" s="25"/>
      <c r="B105" s="26"/>
      <c r="C105" s="26"/>
      <c r="D105" s="25"/>
      <c r="E105" s="25"/>
      <c r="F105" s="25"/>
      <c r="G105" s="5" t="s">
        <v>28</v>
      </c>
      <c r="H105" s="5" t="s">
        <v>29</v>
      </c>
      <c r="I105" s="5">
        <v>28.460768999999999</v>
      </c>
      <c r="J105" s="5">
        <v>76.833776</v>
      </c>
      <c r="K105" s="5" t="s">
        <v>154</v>
      </c>
      <c r="L105" s="5"/>
      <c r="M105" s="5"/>
      <c r="N105" s="5"/>
      <c r="O105" s="5"/>
      <c r="P105" s="5" t="s">
        <v>53</v>
      </c>
      <c r="Q105" s="5"/>
      <c r="R105" s="5">
        <f t="shared" si="1"/>
        <v>420</v>
      </c>
      <c r="S105" s="5">
        <v>1</v>
      </c>
      <c r="T105" s="5">
        <v>60</v>
      </c>
      <c r="U105" s="5">
        <v>7</v>
      </c>
      <c r="V105" s="22"/>
    </row>
    <row r="106" spans="1:22" ht="14.25" customHeight="1">
      <c r="A106" s="25">
        <v>22</v>
      </c>
      <c r="B106" s="26" t="s">
        <v>155</v>
      </c>
      <c r="C106" s="26" t="s">
        <v>156</v>
      </c>
      <c r="D106" s="25" t="s">
        <v>25</v>
      </c>
      <c r="E106" s="25" t="s">
        <v>157</v>
      </c>
      <c r="F106" s="25" t="s">
        <v>158</v>
      </c>
      <c r="G106" s="5" t="s">
        <v>28</v>
      </c>
      <c r="H106" s="5" t="s">
        <v>29</v>
      </c>
      <c r="I106" s="5">
        <v>28.355761999999999</v>
      </c>
      <c r="J106" s="5">
        <v>77.299819999999997</v>
      </c>
      <c r="K106" s="5" t="s">
        <v>159</v>
      </c>
      <c r="L106" s="5" t="s">
        <v>36</v>
      </c>
      <c r="M106" s="5"/>
      <c r="N106" s="5"/>
      <c r="O106" s="5"/>
      <c r="P106" s="5" t="s">
        <v>160</v>
      </c>
      <c r="Q106" s="5"/>
      <c r="R106" s="5">
        <f t="shared" si="1"/>
        <v>378</v>
      </c>
      <c r="S106" s="5">
        <v>1</v>
      </c>
      <c r="T106" s="5">
        <v>21</v>
      </c>
      <c r="U106" s="5">
        <v>18</v>
      </c>
      <c r="V106" s="22"/>
    </row>
    <row r="107" spans="1:22" ht="14.25" customHeight="1">
      <c r="A107" s="25"/>
      <c r="B107" s="26"/>
      <c r="C107" s="26"/>
      <c r="D107" s="25"/>
      <c r="E107" s="25"/>
      <c r="F107" s="2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>
        <f t="shared" si="1"/>
        <v>49</v>
      </c>
      <c r="S107" s="5">
        <v>1</v>
      </c>
      <c r="T107" s="5">
        <v>7</v>
      </c>
      <c r="U107" s="5">
        <v>7</v>
      </c>
      <c r="V107" s="22"/>
    </row>
    <row r="108" spans="1:22" ht="14.25" customHeight="1">
      <c r="A108" s="25"/>
      <c r="B108" s="26"/>
      <c r="C108" s="26"/>
      <c r="D108" s="25"/>
      <c r="E108" s="25"/>
      <c r="F108" s="25"/>
      <c r="G108" s="5" t="s">
        <v>28</v>
      </c>
      <c r="H108" s="5" t="s">
        <v>29</v>
      </c>
      <c r="I108" s="5">
        <v>28.355791</v>
      </c>
      <c r="J108" s="5">
        <v>77.299843999999993</v>
      </c>
      <c r="K108" s="5" t="s">
        <v>161</v>
      </c>
      <c r="L108" s="5"/>
      <c r="M108" s="5"/>
      <c r="N108" s="5"/>
      <c r="O108" s="5"/>
      <c r="P108" s="5" t="s">
        <v>71</v>
      </c>
      <c r="Q108" s="5"/>
      <c r="R108" s="5">
        <f t="shared" si="1"/>
        <v>1080</v>
      </c>
      <c r="S108" s="5">
        <v>1</v>
      </c>
      <c r="T108" s="5">
        <v>60</v>
      </c>
      <c r="U108" s="5">
        <v>18</v>
      </c>
      <c r="V108" s="22"/>
    </row>
    <row r="109" spans="1:22" ht="14.25" customHeight="1">
      <c r="A109" s="25"/>
      <c r="B109" s="26"/>
      <c r="C109" s="26"/>
      <c r="D109" s="25"/>
      <c r="E109" s="25"/>
      <c r="F109" s="25"/>
      <c r="G109" s="5" t="s">
        <v>28</v>
      </c>
      <c r="H109" s="5" t="s">
        <v>29</v>
      </c>
      <c r="I109" s="5">
        <v>28.355893999999999</v>
      </c>
      <c r="J109" s="5">
        <v>77.299572999999995</v>
      </c>
      <c r="K109" s="5" t="s">
        <v>162</v>
      </c>
      <c r="L109" s="5"/>
      <c r="M109" s="5"/>
      <c r="N109" s="5"/>
      <c r="O109" s="5"/>
      <c r="P109" s="5" t="s">
        <v>160</v>
      </c>
      <c r="Q109" s="5"/>
      <c r="R109" s="5">
        <f t="shared" si="1"/>
        <v>666</v>
      </c>
      <c r="S109" s="5">
        <v>1</v>
      </c>
      <c r="T109" s="5">
        <v>37</v>
      </c>
      <c r="U109" s="5">
        <v>18</v>
      </c>
      <c r="V109" s="22"/>
    </row>
    <row r="110" spans="1:22" ht="14.25" customHeight="1">
      <c r="A110" s="25">
        <v>23</v>
      </c>
      <c r="B110" s="26" t="s">
        <v>155</v>
      </c>
      <c r="C110" s="26" t="s">
        <v>163</v>
      </c>
      <c r="D110" s="25" t="s">
        <v>25</v>
      </c>
      <c r="E110" s="25" t="s">
        <v>157</v>
      </c>
      <c r="F110" s="25" t="s">
        <v>164</v>
      </c>
      <c r="G110" s="5" t="s">
        <v>28</v>
      </c>
      <c r="H110" s="5" t="s">
        <v>29</v>
      </c>
      <c r="I110" s="5">
        <v>28.355979999999999</v>
      </c>
      <c r="J110" s="5">
        <v>77.299867000000006</v>
      </c>
      <c r="K110" s="5" t="s">
        <v>165</v>
      </c>
      <c r="L110" s="5" t="s">
        <v>36</v>
      </c>
      <c r="M110" s="5"/>
      <c r="N110" s="5"/>
      <c r="O110" s="5"/>
      <c r="P110" s="5" t="s">
        <v>160</v>
      </c>
      <c r="Q110" s="5"/>
      <c r="R110" s="5">
        <f t="shared" si="1"/>
        <v>1020</v>
      </c>
      <c r="S110" s="5">
        <v>1</v>
      </c>
      <c r="T110" s="5">
        <v>85</v>
      </c>
      <c r="U110" s="5">
        <v>12</v>
      </c>
      <c r="V110" s="22"/>
    </row>
    <row r="111" spans="1:22" ht="14.25" customHeight="1">
      <c r="A111" s="25"/>
      <c r="B111" s="26"/>
      <c r="C111" s="26"/>
      <c r="D111" s="25"/>
      <c r="E111" s="25"/>
      <c r="F111" s="25"/>
      <c r="G111" s="5" t="s">
        <v>28</v>
      </c>
      <c r="H111" s="5" t="s">
        <v>29</v>
      </c>
      <c r="I111" s="5">
        <v>28.355658999999999</v>
      </c>
      <c r="J111" s="5">
        <v>77.299552000000006</v>
      </c>
      <c r="K111" s="5" t="s">
        <v>166</v>
      </c>
      <c r="L111" s="5" t="s">
        <v>36</v>
      </c>
      <c r="M111" s="5"/>
      <c r="N111" s="5"/>
      <c r="O111" s="5"/>
      <c r="P111" s="5" t="s">
        <v>160</v>
      </c>
      <c r="Q111" s="5"/>
      <c r="R111" s="5">
        <f t="shared" si="1"/>
        <v>1376</v>
      </c>
      <c r="S111" s="5">
        <v>1</v>
      </c>
      <c r="T111" s="5">
        <v>86</v>
      </c>
      <c r="U111" s="5">
        <v>16</v>
      </c>
      <c r="V111" s="22"/>
    </row>
    <row r="112" spans="1:22" ht="14.25" customHeight="1">
      <c r="A112" s="25"/>
      <c r="B112" s="25"/>
      <c r="C112" s="25"/>
      <c r="D112" s="25"/>
      <c r="E112" s="25"/>
      <c r="F112" s="2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>
        <f t="shared" si="1"/>
        <v>30</v>
      </c>
      <c r="S112" s="5">
        <v>1</v>
      </c>
      <c r="T112" s="5">
        <v>15</v>
      </c>
      <c r="U112" s="5">
        <v>2</v>
      </c>
      <c r="V112" s="22"/>
    </row>
    <row r="113" spans="1:22" ht="14.25" customHeight="1">
      <c r="A113" s="25"/>
      <c r="B113" s="26"/>
      <c r="C113" s="26"/>
      <c r="D113" s="25"/>
      <c r="E113" s="25"/>
      <c r="F113" s="2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>
        <f t="shared" si="1"/>
        <v>24</v>
      </c>
      <c r="S113" s="5">
        <v>1</v>
      </c>
      <c r="T113" s="5">
        <v>3</v>
      </c>
      <c r="U113" s="5">
        <v>8</v>
      </c>
      <c r="V113" s="22"/>
    </row>
    <row r="114" spans="1:22" ht="14.25" customHeight="1">
      <c r="A114" s="25">
        <v>24</v>
      </c>
      <c r="B114" s="26" t="s">
        <v>155</v>
      </c>
      <c r="C114" s="26" t="s">
        <v>167</v>
      </c>
      <c r="D114" s="25" t="s">
        <v>25</v>
      </c>
      <c r="E114" s="25" t="s">
        <v>157</v>
      </c>
      <c r="F114" s="25" t="s">
        <v>168</v>
      </c>
      <c r="G114" s="5" t="s">
        <v>28</v>
      </c>
      <c r="H114" s="5" t="s">
        <v>29</v>
      </c>
      <c r="I114" s="5">
        <v>28.430720999999998</v>
      </c>
      <c r="J114" s="5">
        <v>77.305322000000004</v>
      </c>
      <c r="K114" s="5" t="s">
        <v>169</v>
      </c>
      <c r="L114" s="5" t="s">
        <v>36</v>
      </c>
      <c r="M114" s="5"/>
      <c r="N114" s="5"/>
      <c r="O114" s="5"/>
      <c r="P114" s="5" t="s">
        <v>64</v>
      </c>
      <c r="Q114" s="5"/>
      <c r="R114" s="5">
        <f t="shared" si="1"/>
        <v>802.5</v>
      </c>
      <c r="S114" s="5">
        <v>1</v>
      </c>
      <c r="T114" s="5">
        <v>53.5</v>
      </c>
      <c r="U114" s="5">
        <v>15</v>
      </c>
      <c r="V114" s="22"/>
    </row>
    <row r="115" spans="1:22" ht="14.25" customHeight="1">
      <c r="A115" s="25"/>
      <c r="B115" s="26"/>
      <c r="C115" s="26"/>
      <c r="D115" s="25"/>
      <c r="E115" s="25"/>
      <c r="F115" s="2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>
        <f t="shared" si="1"/>
        <v>90</v>
      </c>
      <c r="S115" s="5">
        <v>1</v>
      </c>
      <c r="T115" s="5">
        <v>10</v>
      </c>
      <c r="U115" s="5">
        <v>9</v>
      </c>
      <c r="V115" s="22"/>
    </row>
    <row r="116" spans="1:22" ht="14.25" customHeight="1">
      <c r="A116" s="25"/>
      <c r="B116" s="26"/>
      <c r="C116" s="26"/>
      <c r="D116" s="25"/>
      <c r="E116" s="25"/>
      <c r="F116" s="25"/>
      <c r="G116" s="5" t="s">
        <v>28</v>
      </c>
      <c r="H116" s="5" t="s">
        <v>29</v>
      </c>
      <c r="I116" s="5">
        <v>28.43064</v>
      </c>
      <c r="J116" s="5">
        <v>77.305284999999998</v>
      </c>
      <c r="K116" s="5" t="s">
        <v>170</v>
      </c>
      <c r="L116" s="5"/>
      <c r="M116" s="5"/>
      <c r="N116" s="5"/>
      <c r="O116" s="5"/>
      <c r="P116" s="5" t="s">
        <v>64</v>
      </c>
      <c r="Q116" s="5"/>
      <c r="R116" s="5">
        <f t="shared" si="1"/>
        <v>131.25</v>
      </c>
      <c r="S116" s="5">
        <v>1</v>
      </c>
      <c r="T116" s="5">
        <v>12.5</v>
      </c>
      <c r="U116" s="5">
        <v>10.5</v>
      </c>
      <c r="V116" s="22"/>
    </row>
    <row r="117" spans="1:22" ht="14.25" customHeight="1">
      <c r="A117" s="25"/>
      <c r="B117" s="26"/>
      <c r="C117" s="26"/>
      <c r="D117" s="25"/>
      <c r="E117" s="25"/>
      <c r="F117" s="2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>
        <f t="shared" si="1"/>
        <v>112.5</v>
      </c>
      <c r="S117" s="5">
        <v>1</v>
      </c>
      <c r="T117" s="5">
        <v>12.5</v>
      </c>
      <c r="U117" s="5">
        <v>9</v>
      </c>
      <c r="V117" s="22"/>
    </row>
    <row r="118" spans="1:22" ht="14.25" customHeight="1">
      <c r="A118" s="25"/>
      <c r="B118" s="26"/>
      <c r="C118" s="26"/>
      <c r="D118" s="25"/>
      <c r="E118" s="25"/>
      <c r="F118" s="25"/>
      <c r="G118" s="5" t="s">
        <v>28</v>
      </c>
      <c r="H118" s="5" t="s">
        <v>29</v>
      </c>
      <c r="I118" s="5">
        <v>28.430638999999999</v>
      </c>
      <c r="J118" s="5">
        <v>77.305188999999999</v>
      </c>
      <c r="K118" s="5" t="s">
        <v>171</v>
      </c>
      <c r="L118" s="5"/>
      <c r="M118" s="5"/>
      <c r="N118" s="5"/>
      <c r="O118" s="5"/>
      <c r="P118" s="5" t="s">
        <v>64</v>
      </c>
      <c r="Q118" s="5"/>
      <c r="R118" s="5">
        <f t="shared" si="1"/>
        <v>360</v>
      </c>
      <c r="S118" s="5">
        <v>1</v>
      </c>
      <c r="T118" s="5">
        <v>40</v>
      </c>
      <c r="U118" s="5">
        <v>9</v>
      </c>
      <c r="V118" s="22"/>
    </row>
    <row r="119" spans="1:22" ht="14.25" customHeight="1">
      <c r="A119" s="25"/>
      <c r="B119" s="26"/>
      <c r="C119" s="26"/>
      <c r="D119" s="25"/>
      <c r="E119" s="25"/>
      <c r="F119" s="2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>
        <f t="shared" si="1"/>
        <v>84</v>
      </c>
      <c r="S119" s="5">
        <v>1</v>
      </c>
      <c r="T119" s="5">
        <v>8</v>
      </c>
      <c r="U119" s="5">
        <v>10.5</v>
      </c>
      <c r="V119" s="22"/>
    </row>
    <row r="120" spans="1:22" ht="14.25" customHeight="1">
      <c r="A120" s="25"/>
      <c r="B120" s="26"/>
      <c r="C120" s="26"/>
      <c r="D120" s="25"/>
      <c r="E120" s="25"/>
      <c r="F120" s="25"/>
      <c r="G120" s="5" t="s">
        <v>28</v>
      </c>
      <c r="H120" s="5" t="s">
        <v>29</v>
      </c>
      <c r="I120" s="5">
        <v>28.430579999999999</v>
      </c>
      <c r="J120" s="5">
        <v>77.305119000000005</v>
      </c>
      <c r="K120" s="5" t="s">
        <v>172</v>
      </c>
      <c r="L120" s="5"/>
      <c r="M120" s="5"/>
      <c r="N120" s="5"/>
      <c r="O120" s="5"/>
      <c r="P120" s="5" t="s">
        <v>64</v>
      </c>
      <c r="Q120" s="5"/>
      <c r="R120" s="5">
        <f t="shared" si="1"/>
        <v>102</v>
      </c>
      <c r="S120" s="5">
        <v>1</v>
      </c>
      <c r="T120" s="5">
        <v>34</v>
      </c>
      <c r="U120" s="5">
        <v>3</v>
      </c>
      <c r="V120" s="22"/>
    </row>
    <row r="121" spans="1:22" ht="14.25" customHeight="1">
      <c r="A121" s="25"/>
      <c r="B121" s="26"/>
      <c r="C121" s="26"/>
      <c r="D121" s="25"/>
      <c r="E121" s="25"/>
      <c r="F121" s="25"/>
      <c r="G121" s="5" t="s">
        <v>28</v>
      </c>
      <c r="H121" s="5" t="s">
        <v>29</v>
      </c>
      <c r="I121" s="5">
        <v>28.430551999999999</v>
      </c>
      <c r="J121" s="5">
        <v>77.305087</v>
      </c>
      <c r="K121" s="5" t="s">
        <v>173</v>
      </c>
      <c r="L121" s="5" t="s">
        <v>36</v>
      </c>
      <c r="M121" s="5"/>
      <c r="N121" s="5"/>
      <c r="O121" s="5"/>
      <c r="P121" s="5" t="s">
        <v>81</v>
      </c>
      <c r="Q121" s="5"/>
      <c r="R121" s="5">
        <f t="shared" si="1"/>
        <v>81</v>
      </c>
      <c r="S121" s="5">
        <v>1</v>
      </c>
      <c r="T121" s="5">
        <v>9</v>
      </c>
      <c r="U121" s="5">
        <v>9</v>
      </c>
      <c r="V121" s="22"/>
    </row>
    <row r="122" spans="1:22" ht="14.25" customHeight="1">
      <c r="A122" s="25"/>
      <c r="B122" s="26"/>
      <c r="C122" s="26"/>
      <c r="D122" s="25"/>
      <c r="E122" s="25"/>
      <c r="F122" s="2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>
        <f t="shared" si="1"/>
        <v>54</v>
      </c>
      <c r="S122" s="5">
        <v>2</v>
      </c>
      <c r="T122" s="5">
        <v>3</v>
      </c>
      <c r="U122" s="5">
        <v>9</v>
      </c>
      <c r="V122" s="22"/>
    </row>
    <row r="123" spans="1:22" ht="14.25" customHeight="1">
      <c r="A123" s="25"/>
      <c r="B123" s="26"/>
      <c r="C123" s="26"/>
      <c r="D123" s="25"/>
      <c r="E123" s="25"/>
      <c r="F123" s="25"/>
      <c r="G123" s="5" t="s">
        <v>28</v>
      </c>
      <c r="H123" s="5" t="s">
        <v>29</v>
      </c>
      <c r="I123" s="5">
        <v>28.336621000000001</v>
      </c>
      <c r="J123" s="5">
        <v>77.292868999999996</v>
      </c>
      <c r="K123" s="5" t="s">
        <v>174</v>
      </c>
      <c r="L123" s="5"/>
      <c r="M123" s="5"/>
      <c r="N123" s="5"/>
      <c r="O123" s="5"/>
      <c r="P123" s="5" t="s">
        <v>81</v>
      </c>
      <c r="Q123" s="5"/>
      <c r="R123" s="5">
        <f t="shared" si="1"/>
        <v>1330</v>
      </c>
      <c r="S123" s="5">
        <v>1</v>
      </c>
      <c r="T123" s="5">
        <v>70</v>
      </c>
      <c r="U123" s="5">
        <v>19</v>
      </c>
      <c r="V123" s="22"/>
    </row>
    <row r="124" spans="1:22" ht="14.25" customHeight="1">
      <c r="A124" s="25"/>
      <c r="B124" s="26"/>
      <c r="C124" s="26"/>
      <c r="D124" s="25"/>
      <c r="E124" s="25"/>
      <c r="F124" s="2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>
        <f t="shared" si="1"/>
        <v>50</v>
      </c>
      <c r="S124" s="5">
        <v>1</v>
      </c>
      <c r="T124" s="5">
        <v>10</v>
      </c>
      <c r="U124" s="5">
        <v>5</v>
      </c>
      <c r="V124" s="22"/>
    </row>
    <row r="125" spans="1:22" ht="14.25" customHeight="1">
      <c r="A125" s="25"/>
      <c r="B125" s="26"/>
      <c r="C125" s="26"/>
      <c r="D125" s="25"/>
      <c r="E125" s="25"/>
      <c r="F125" s="25"/>
      <c r="G125" s="5" t="s">
        <v>28</v>
      </c>
      <c r="H125" s="5" t="s">
        <v>29</v>
      </c>
      <c r="I125" s="5">
        <v>28.336462000000001</v>
      </c>
      <c r="J125" s="5">
        <v>77.292523000000003</v>
      </c>
      <c r="K125" s="5" t="s">
        <v>175</v>
      </c>
      <c r="L125" s="5"/>
      <c r="M125" s="5"/>
      <c r="N125" s="5"/>
      <c r="O125" s="5"/>
      <c r="P125" s="5" t="s">
        <v>81</v>
      </c>
      <c r="Q125" s="5"/>
      <c r="R125" s="5">
        <f t="shared" si="1"/>
        <v>427.5</v>
      </c>
      <c r="S125" s="5">
        <v>1</v>
      </c>
      <c r="T125" s="5">
        <v>22.5</v>
      </c>
      <c r="U125" s="5">
        <v>19</v>
      </c>
      <c r="V125" s="22"/>
    </row>
    <row r="126" spans="1:22" ht="14.25" customHeight="1">
      <c r="A126" s="25"/>
      <c r="B126" s="26"/>
      <c r="C126" s="26"/>
      <c r="D126" s="25"/>
      <c r="E126" s="25"/>
      <c r="F126" s="2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>
        <f t="shared" si="1"/>
        <v>95</v>
      </c>
      <c r="S126" s="5">
        <v>1</v>
      </c>
      <c r="T126" s="5">
        <v>9.5</v>
      </c>
      <c r="U126" s="5">
        <v>10</v>
      </c>
      <c r="V126" s="22"/>
    </row>
    <row r="127" spans="1:22" ht="14.25" customHeight="1">
      <c r="A127" s="25"/>
      <c r="B127" s="26"/>
      <c r="C127" s="26"/>
      <c r="D127" s="25"/>
      <c r="E127" s="25"/>
      <c r="F127" s="25"/>
      <c r="G127" s="5" t="s">
        <v>28</v>
      </c>
      <c r="H127" s="5" t="s">
        <v>29</v>
      </c>
      <c r="I127" s="5">
        <v>28.336302</v>
      </c>
      <c r="J127" s="5">
        <v>77.292626999999996</v>
      </c>
      <c r="K127" s="5" t="s">
        <v>176</v>
      </c>
      <c r="L127" s="5"/>
      <c r="M127" s="5"/>
      <c r="N127" s="5"/>
      <c r="O127" s="5"/>
      <c r="P127" s="5" t="s">
        <v>81</v>
      </c>
      <c r="Q127" s="5"/>
      <c r="R127" s="5">
        <f t="shared" si="1"/>
        <v>636.5</v>
      </c>
      <c r="S127" s="5">
        <v>1</v>
      </c>
      <c r="T127" s="5">
        <v>33.5</v>
      </c>
      <c r="U127" s="5">
        <v>19</v>
      </c>
      <c r="V127" s="22"/>
    </row>
    <row r="128" spans="1:22" ht="14.25" customHeight="1">
      <c r="A128" s="25"/>
      <c r="B128" s="26"/>
      <c r="C128" s="26"/>
      <c r="D128" s="25"/>
      <c r="E128" s="25"/>
      <c r="F128" s="2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>
        <f t="shared" si="1"/>
        <v>90</v>
      </c>
      <c r="S128" s="5">
        <v>1</v>
      </c>
      <c r="T128" s="5">
        <v>10</v>
      </c>
      <c r="U128" s="5">
        <v>9</v>
      </c>
      <c r="V128" s="22"/>
    </row>
    <row r="129" spans="1:22" ht="14.25" customHeight="1">
      <c r="A129" s="25">
        <v>25</v>
      </c>
      <c r="B129" s="26" t="s">
        <v>48</v>
      </c>
      <c r="C129" s="26" t="s">
        <v>177</v>
      </c>
      <c r="D129" s="25" t="s">
        <v>25</v>
      </c>
      <c r="E129" s="25" t="s">
        <v>178</v>
      </c>
      <c r="F129" s="25" t="s">
        <v>179</v>
      </c>
      <c r="G129" s="5" t="s">
        <v>28</v>
      </c>
      <c r="H129" s="5" t="s">
        <v>29</v>
      </c>
      <c r="I129" s="5">
        <v>27.886763999999999</v>
      </c>
      <c r="J129" s="5">
        <v>77.374645000000001</v>
      </c>
      <c r="K129" s="5" t="s">
        <v>180</v>
      </c>
      <c r="L129" s="5" t="s">
        <v>36</v>
      </c>
      <c r="M129" s="5"/>
      <c r="N129" s="5"/>
      <c r="O129" s="5"/>
      <c r="P129" s="5" t="s">
        <v>88</v>
      </c>
      <c r="Q129" s="5"/>
      <c r="R129" s="5">
        <f t="shared" si="1"/>
        <v>450</v>
      </c>
      <c r="S129" s="5">
        <v>1</v>
      </c>
      <c r="T129" s="5">
        <v>25</v>
      </c>
      <c r="U129" s="5">
        <v>18</v>
      </c>
      <c r="V129" s="22"/>
    </row>
    <row r="130" spans="1:22" ht="14.25" customHeight="1">
      <c r="A130" s="25"/>
      <c r="B130" s="26"/>
      <c r="C130" s="26"/>
      <c r="D130" s="25"/>
      <c r="E130" s="25"/>
      <c r="F130" s="2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>
        <f t="shared" si="1"/>
        <v>512</v>
      </c>
      <c r="S130" s="5">
        <v>1</v>
      </c>
      <c r="T130" s="5">
        <v>64</v>
      </c>
      <c r="U130" s="5">
        <v>8</v>
      </c>
      <c r="V130" s="22"/>
    </row>
    <row r="131" spans="1:22" ht="14.25" customHeight="1">
      <c r="A131" s="25"/>
      <c r="B131" s="26"/>
      <c r="C131" s="26"/>
      <c r="D131" s="25"/>
      <c r="E131" s="25"/>
      <c r="F131" s="2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>
        <f t="shared" ref="R131:R194" si="2">S131*T131*U131</f>
        <v>234</v>
      </c>
      <c r="S131" s="5">
        <v>1</v>
      </c>
      <c r="T131" s="5">
        <v>13</v>
      </c>
      <c r="U131" s="5">
        <v>18</v>
      </c>
      <c r="V131" s="22"/>
    </row>
    <row r="132" spans="1:22" ht="14.25" customHeight="1">
      <c r="A132" s="25"/>
      <c r="B132" s="26"/>
      <c r="C132" s="26"/>
      <c r="D132" s="25"/>
      <c r="E132" s="25"/>
      <c r="F132" s="25"/>
      <c r="G132" s="5" t="s">
        <v>28</v>
      </c>
      <c r="H132" s="5" t="s">
        <v>29</v>
      </c>
      <c r="I132" s="5">
        <v>27.890355</v>
      </c>
      <c r="J132" s="5">
        <v>77.372944000000004</v>
      </c>
      <c r="K132" s="5" t="s">
        <v>181</v>
      </c>
      <c r="L132" s="5" t="s">
        <v>36</v>
      </c>
      <c r="M132" s="5"/>
      <c r="N132" s="5"/>
      <c r="O132" s="5"/>
      <c r="P132" s="5" t="s">
        <v>88</v>
      </c>
      <c r="Q132" s="5"/>
      <c r="R132" s="5">
        <f t="shared" si="2"/>
        <v>238</v>
      </c>
      <c r="S132" s="5">
        <v>1</v>
      </c>
      <c r="T132" s="5">
        <v>17</v>
      </c>
      <c r="U132" s="5">
        <v>14</v>
      </c>
      <c r="V132" s="22"/>
    </row>
    <row r="133" spans="1:22" ht="14.25" customHeight="1">
      <c r="A133" s="25"/>
      <c r="B133" s="26"/>
      <c r="C133" s="26"/>
      <c r="D133" s="25"/>
      <c r="E133" s="25"/>
      <c r="F133" s="25"/>
      <c r="G133" s="5" t="s">
        <v>28</v>
      </c>
      <c r="H133" s="5" t="s">
        <v>29</v>
      </c>
      <c r="I133" s="5">
        <v>27.886641999999998</v>
      </c>
      <c r="J133" s="5">
        <v>77.376757999999995</v>
      </c>
      <c r="K133" s="5" t="s">
        <v>182</v>
      </c>
      <c r="L133" s="5"/>
      <c r="M133" s="5"/>
      <c r="N133" s="5"/>
      <c r="O133" s="5"/>
      <c r="P133" s="5" t="s">
        <v>88</v>
      </c>
      <c r="Q133" s="5"/>
      <c r="R133" s="5">
        <f t="shared" si="2"/>
        <v>1189.5</v>
      </c>
      <c r="S133" s="5">
        <v>1</v>
      </c>
      <c r="T133" s="5">
        <v>61</v>
      </c>
      <c r="U133" s="5">
        <v>19.5</v>
      </c>
      <c r="V133" s="22"/>
    </row>
    <row r="134" spans="1:22" ht="14.25" customHeight="1">
      <c r="A134" s="25">
        <v>26</v>
      </c>
      <c r="B134" s="26" t="s">
        <v>48</v>
      </c>
      <c r="C134" s="26" t="s">
        <v>183</v>
      </c>
      <c r="D134" s="25" t="s">
        <v>25</v>
      </c>
      <c r="E134" s="25" t="s">
        <v>184</v>
      </c>
      <c r="F134" s="25" t="s">
        <v>185</v>
      </c>
      <c r="G134" s="5" t="s">
        <v>28</v>
      </c>
      <c r="H134" s="5" t="s">
        <v>29</v>
      </c>
      <c r="I134" s="5">
        <v>28.193975999999999</v>
      </c>
      <c r="J134" s="5">
        <v>76.635476999999995</v>
      </c>
      <c r="K134" s="5" t="s">
        <v>186</v>
      </c>
      <c r="L134" s="5"/>
      <c r="M134" s="5"/>
      <c r="N134" s="5"/>
      <c r="O134" s="5"/>
      <c r="P134" s="5" t="s">
        <v>187</v>
      </c>
      <c r="Q134" s="5"/>
      <c r="R134" s="5">
        <f t="shared" si="2"/>
        <v>501.5</v>
      </c>
      <c r="S134" s="5">
        <v>1</v>
      </c>
      <c r="T134" s="5">
        <v>29.5</v>
      </c>
      <c r="U134" s="5">
        <v>17</v>
      </c>
      <c r="V134" s="22"/>
    </row>
    <row r="135" spans="1:22" ht="14.25" customHeight="1">
      <c r="A135" s="25"/>
      <c r="B135" s="26"/>
      <c r="C135" s="26"/>
      <c r="D135" s="25"/>
      <c r="E135" s="25"/>
      <c r="F135" s="2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>
        <f t="shared" si="2"/>
        <v>36</v>
      </c>
      <c r="S135" s="5">
        <v>1</v>
      </c>
      <c r="T135" s="5">
        <v>4</v>
      </c>
      <c r="U135" s="5">
        <v>9</v>
      </c>
      <c r="V135" s="22"/>
    </row>
    <row r="136" spans="1:22" ht="14.25" customHeight="1">
      <c r="A136" s="25"/>
      <c r="B136" s="26"/>
      <c r="C136" s="26"/>
      <c r="D136" s="25"/>
      <c r="E136" s="25"/>
      <c r="F136" s="2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>
        <f t="shared" si="2"/>
        <v>1911</v>
      </c>
      <c r="S136" s="5">
        <v>1</v>
      </c>
      <c r="T136" s="5">
        <v>91</v>
      </c>
      <c r="U136" s="5">
        <v>21</v>
      </c>
      <c r="V136" s="22"/>
    </row>
    <row r="137" spans="1:22" ht="14.25" customHeight="1">
      <c r="A137" s="25">
        <v>27</v>
      </c>
      <c r="B137" s="26" t="s">
        <v>188</v>
      </c>
      <c r="C137" s="26" t="s">
        <v>189</v>
      </c>
      <c r="D137" s="25" t="s">
        <v>25</v>
      </c>
      <c r="E137" s="25" t="s">
        <v>190</v>
      </c>
      <c r="F137" s="25" t="s">
        <v>191</v>
      </c>
      <c r="G137" s="5" t="s">
        <v>28</v>
      </c>
      <c r="H137" s="5" t="s">
        <v>29</v>
      </c>
      <c r="I137" s="5">
        <v>28.106110999999999</v>
      </c>
      <c r="J137" s="5">
        <v>76.259812999999994</v>
      </c>
      <c r="K137" s="5" t="s">
        <v>192</v>
      </c>
      <c r="L137" s="5"/>
      <c r="M137" s="5"/>
      <c r="N137" s="5"/>
      <c r="O137" s="5"/>
      <c r="P137" s="5" t="s">
        <v>193</v>
      </c>
      <c r="Q137" s="5"/>
      <c r="R137" s="5">
        <f t="shared" si="2"/>
        <v>288</v>
      </c>
      <c r="S137" s="5">
        <v>1</v>
      </c>
      <c r="T137" s="5">
        <v>32</v>
      </c>
      <c r="U137" s="5">
        <v>9</v>
      </c>
      <c r="V137" s="22"/>
    </row>
    <row r="138" spans="1:22" ht="14.25" customHeight="1">
      <c r="A138" s="25"/>
      <c r="B138" s="26"/>
      <c r="C138" s="26"/>
      <c r="D138" s="25"/>
      <c r="E138" s="25"/>
      <c r="F138" s="2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>
        <f t="shared" si="2"/>
        <v>35</v>
      </c>
      <c r="S138" s="5">
        <v>1</v>
      </c>
      <c r="T138" s="5">
        <v>5</v>
      </c>
      <c r="U138" s="5">
        <v>7</v>
      </c>
      <c r="V138" s="22"/>
    </row>
    <row r="139" spans="1:22" ht="14.25" customHeight="1">
      <c r="A139" s="25"/>
      <c r="B139" s="26"/>
      <c r="C139" s="26"/>
      <c r="D139" s="25"/>
      <c r="E139" s="25"/>
      <c r="F139" s="2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>
        <f t="shared" si="2"/>
        <v>19.5</v>
      </c>
      <c r="S139" s="5">
        <v>1</v>
      </c>
      <c r="T139" s="5">
        <v>3</v>
      </c>
      <c r="U139" s="5">
        <v>6.5</v>
      </c>
      <c r="V139" s="22"/>
    </row>
    <row r="140" spans="1:22" ht="14.25" customHeight="1">
      <c r="A140" s="25"/>
      <c r="B140" s="26"/>
      <c r="C140" s="26"/>
      <c r="D140" s="25"/>
      <c r="E140" s="25"/>
      <c r="F140" s="2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>
        <f t="shared" si="2"/>
        <v>12</v>
      </c>
      <c r="S140" s="5">
        <v>2</v>
      </c>
      <c r="T140" s="5">
        <v>3</v>
      </c>
      <c r="U140" s="5">
        <v>2</v>
      </c>
      <c r="V140" s="22"/>
    </row>
    <row r="141" spans="1:22" ht="14.25" customHeight="1">
      <c r="A141" s="25"/>
      <c r="B141" s="26"/>
      <c r="C141" s="26"/>
      <c r="D141" s="25"/>
      <c r="E141" s="25"/>
      <c r="F141" s="2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>
        <f t="shared" si="2"/>
        <v>49</v>
      </c>
      <c r="S141" s="5">
        <v>1</v>
      </c>
      <c r="T141" s="5">
        <v>7</v>
      </c>
      <c r="U141" s="5">
        <v>7</v>
      </c>
      <c r="V141" s="22"/>
    </row>
    <row r="142" spans="1:22" ht="14.25" customHeight="1">
      <c r="A142" s="25"/>
      <c r="B142" s="26"/>
      <c r="C142" s="26"/>
      <c r="D142" s="25"/>
      <c r="E142" s="25"/>
      <c r="F142" s="25"/>
      <c r="G142" s="5" t="s">
        <v>28</v>
      </c>
      <c r="H142" s="5" t="s">
        <v>29</v>
      </c>
      <c r="I142" s="5">
        <v>28.106145000000001</v>
      </c>
      <c r="J142" s="5">
        <v>76.259857999999994</v>
      </c>
      <c r="K142" s="5" t="s">
        <v>194</v>
      </c>
      <c r="L142" s="5"/>
      <c r="M142" s="5"/>
      <c r="N142" s="5"/>
      <c r="O142" s="5"/>
      <c r="P142" s="5" t="s">
        <v>193</v>
      </c>
      <c r="Q142" s="5"/>
      <c r="R142" s="5">
        <f t="shared" si="2"/>
        <v>135</v>
      </c>
      <c r="S142" s="5">
        <v>1</v>
      </c>
      <c r="T142" s="5">
        <v>13.5</v>
      </c>
      <c r="U142" s="5">
        <v>10</v>
      </c>
      <c r="V142" s="22"/>
    </row>
    <row r="143" spans="1:22" ht="14.25" customHeight="1">
      <c r="A143" s="25"/>
      <c r="B143" s="26"/>
      <c r="C143" s="26"/>
      <c r="D143" s="25"/>
      <c r="E143" s="25"/>
      <c r="F143" s="25"/>
      <c r="G143" s="5" t="s">
        <v>28</v>
      </c>
      <c r="H143" s="5" t="s">
        <v>29</v>
      </c>
      <c r="I143" s="5">
        <v>28.106059999999999</v>
      </c>
      <c r="J143" s="5">
        <v>76.259799999999998</v>
      </c>
      <c r="K143" s="5" t="s">
        <v>195</v>
      </c>
      <c r="L143" s="5"/>
      <c r="M143" s="5"/>
      <c r="N143" s="5"/>
      <c r="O143" s="5"/>
      <c r="P143" s="5" t="s">
        <v>193</v>
      </c>
      <c r="Q143" s="5"/>
      <c r="R143" s="5">
        <f t="shared" si="2"/>
        <v>793</v>
      </c>
      <c r="S143" s="5">
        <v>1</v>
      </c>
      <c r="T143" s="5">
        <v>61</v>
      </c>
      <c r="U143" s="5">
        <v>13</v>
      </c>
      <c r="V143" s="22"/>
    </row>
    <row r="144" spans="1:22" ht="14.25" customHeight="1">
      <c r="A144" s="25"/>
      <c r="B144" s="26"/>
      <c r="C144" s="26"/>
      <c r="D144" s="25"/>
      <c r="E144" s="25"/>
      <c r="F144" s="25"/>
      <c r="G144" s="5" t="s">
        <v>28</v>
      </c>
      <c r="H144" s="5" t="s">
        <v>29</v>
      </c>
      <c r="I144" s="5">
        <v>28.106142999999999</v>
      </c>
      <c r="J144" s="5">
        <v>76.259836000000007</v>
      </c>
      <c r="K144" s="5" t="s">
        <v>196</v>
      </c>
      <c r="L144" s="5"/>
      <c r="M144" s="5"/>
      <c r="N144" s="5"/>
      <c r="O144" s="5"/>
      <c r="P144" s="5" t="s">
        <v>193</v>
      </c>
      <c r="Q144" s="5"/>
      <c r="R144" s="5">
        <f t="shared" si="2"/>
        <v>637</v>
      </c>
      <c r="S144" s="5">
        <v>1</v>
      </c>
      <c r="T144" s="5">
        <v>49</v>
      </c>
      <c r="U144" s="5">
        <v>13</v>
      </c>
      <c r="V144" s="22"/>
    </row>
    <row r="145" spans="1:22" ht="14.25" customHeight="1">
      <c r="A145" s="25"/>
      <c r="B145" s="26"/>
      <c r="C145" s="26"/>
      <c r="D145" s="25"/>
      <c r="E145" s="25"/>
      <c r="F145" s="2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>
        <f t="shared" si="2"/>
        <v>75</v>
      </c>
      <c r="S145" s="5">
        <v>1</v>
      </c>
      <c r="T145" s="5">
        <v>15</v>
      </c>
      <c r="U145" s="5">
        <v>5</v>
      </c>
      <c r="V145" s="22"/>
    </row>
    <row r="146" spans="1:22" ht="14.25" customHeight="1">
      <c r="A146" s="25"/>
      <c r="B146" s="26"/>
      <c r="C146" s="26"/>
      <c r="D146" s="25"/>
      <c r="E146" s="25"/>
      <c r="F146" s="25"/>
      <c r="G146" s="5" t="s">
        <v>28</v>
      </c>
      <c r="H146" s="5" t="s">
        <v>29</v>
      </c>
      <c r="I146" s="5">
        <v>28.106109</v>
      </c>
      <c r="J146" s="5">
        <v>76.259832000000003</v>
      </c>
      <c r="K146" s="5" t="s">
        <v>197</v>
      </c>
      <c r="L146" s="5"/>
      <c r="M146" s="5"/>
      <c r="N146" s="5"/>
      <c r="O146" s="5"/>
      <c r="P146" s="5" t="s">
        <v>193</v>
      </c>
      <c r="Q146" s="5"/>
      <c r="R146" s="5">
        <f t="shared" si="2"/>
        <v>525</v>
      </c>
      <c r="S146" s="5">
        <v>1</v>
      </c>
      <c r="T146" s="5">
        <v>50</v>
      </c>
      <c r="U146" s="5">
        <v>10.5</v>
      </c>
      <c r="V146" s="22"/>
    </row>
    <row r="147" spans="1:22" ht="14.25" customHeight="1">
      <c r="A147" s="25"/>
      <c r="B147" s="26"/>
      <c r="C147" s="26"/>
      <c r="D147" s="25"/>
      <c r="E147" s="25"/>
      <c r="F147" s="25"/>
      <c r="G147" s="5" t="s">
        <v>28</v>
      </c>
      <c r="H147" s="5" t="s">
        <v>29</v>
      </c>
      <c r="I147" s="5">
        <v>28.106100999999999</v>
      </c>
      <c r="J147" s="5">
        <v>76.25985</v>
      </c>
      <c r="K147" s="5" t="s">
        <v>198</v>
      </c>
      <c r="L147" s="5"/>
      <c r="M147" s="5"/>
      <c r="N147" s="5"/>
      <c r="O147" s="5"/>
      <c r="P147" s="5" t="s">
        <v>193</v>
      </c>
      <c r="Q147" s="5"/>
      <c r="R147" s="5">
        <f t="shared" si="2"/>
        <v>346.5</v>
      </c>
      <c r="S147" s="5">
        <v>1</v>
      </c>
      <c r="T147" s="5">
        <v>33</v>
      </c>
      <c r="U147" s="5">
        <v>10.5</v>
      </c>
      <c r="V147" s="22"/>
    </row>
    <row r="148" spans="1:22" ht="14.25" customHeight="1">
      <c r="A148" s="25"/>
      <c r="B148" s="26"/>
      <c r="C148" s="26"/>
      <c r="D148" s="25"/>
      <c r="E148" s="25"/>
      <c r="F148" s="25"/>
      <c r="G148" s="5" t="s">
        <v>28</v>
      </c>
      <c r="H148" s="5" t="s">
        <v>29</v>
      </c>
      <c r="I148" s="5">
        <v>28.106071</v>
      </c>
      <c r="J148" s="5">
        <v>76.259748000000002</v>
      </c>
      <c r="K148" s="5" t="s">
        <v>199</v>
      </c>
      <c r="L148" s="5"/>
      <c r="M148" s="5"/>
      <c r="N148" s="5"/>
      <c r="O148" s="5"/>
      <c r="P148" s="5" t="s">
        <v>193</v>
      </c>
      <c r="Q148" s="5"/>
      <c r="R148" s="5">
        <f t="shared" si="2"/>
        <v>139.75</v>
      </c>
      <c r="S148" s="5">
        <v>1</v>
      </c>
      <c r="T148" s="5">
        <v>21.5</v>
      </c>
      <c r="U148" s="5">
        <v>6.5</v>
      </c>
      <c r="V148" s="22"/>
    </row>
    <row r="149" spans="1:22" ht="14.25" customHeight="1">
      <c r="A149" s="25">
        <v>28</v>
      </c>
      <c r="B149" s="26" t="s">
        <v>188</v>
      </c>
      <c r="C149" s="26" t="s">
        <v>200</v>
      </c>
      <c r="D149" s="25" t="s">
        <v>25</v>
      </c>
      <c r="E149" s="25" t="s">
        <v>190</v>
      </c>
      <c r="F149" s="25" t="s">
        <v>201</v>
      </c>
      <c r="G149" s="5" t="s">
        <v>28</v>
      </c>
      <c r="H149" s="5" t="s">
        <v>29</v>
      </c>
      <c r="I149" s="5">
        <v>28.399587</v>
      </c>
      <c r="J149" s="5">
        <v>76.131917000000001</v>
      </c>
      <c r="K149" s="5" t="s">
        <v>202</v>
      </c>
      <c r="L149" s="5"/>
      <c r="M149" s="5"/>
      <c r="N149" s="5"/>
      <c r="O149" s="5"/>
      <c r="P149" s="5" t="s">
        <v>203</v>
      </c>
      <c r="Q149" s="5"/>
      <c r="R149" s="5">
        <f t="shared" si="2"/>
        <v>1326</v>
      </c>
      <c r="S149" s="5">
        <v>1</v>
      </c>
      <c r="T149" s="5">
        <v>78</v>
      </c>
      <c r="U149" s="5">
        <v>17</v>
      </c>
      <c r="V149" s="22"/>
    </row>
    <row r="150" spans="1:22" ht="14.25" customHeight="1">
      <c r="A150" s="25"/>
      <c r="B150" s="26"/>
      <c r="C150" s="26"/>
      <c r="D150" s="25"/>
      <c r="E150" s="25"/>
      <c r="F150" s="25"/>
      <c r="G150" s="5" t="s">
        <v>28</v>
      </c>
      <c r="H150" s="5" t="s">
        <v>29</v>
      </c>
      <c r="I150" s="5">
        <v>28.400099999999998</v>
      </c>
      <c r="J150" s="5">
        <v>76.131103999999993</v>
      </c>
      <c r="K150" s="5" t="s">
        <v>204</v>
      </c>
      <c r="L150" s="5"/>
      <c r="M150" s="5"/>
      <c r="N150" s="5"/>
      <c r="O150" s="5"/>
      <c r="P150" s="5" t="s">
        <v>203</v>
      </c>
      <c r="Q150" s="5"/>
      <c r="R150" s="5">
        <f t="shared" si="2"/>
        <v>370.5</v>
      </c>
      <c r="S150" s="5">
        <v>1</v>
      </c>
      <c r="T150" s="5">
        <v>39</v>
      </c>
      <c r="U150" s="5">
        <v>9.5</v>
      </c>
      <c r="V150" s="22"/>
    </row>
    <row r="151" spans="1:22" ht="14.25" customHeight="1">
      <c r="A151" s="25"/>
      <c r="B151" s="26"/>
      <c r="C151" s="26"/>
      <c r="D151" s="25"/>
      <c r="E151" s="25"/>
      <c r="F151" s="2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>
        <f t="shared" si="2"/>
        <v>75</v>
      </c>
      <c r="S151" s="5">
        <v>1</v>
      </c>
      <c r="T151" s="5">
        <v>12.5</v>
      </c>
      <c r="U151" s="5">
        <v>6</v>
      </c>
      <c r="V151" s="22"/>
    </row>
    <row r="152" spans="1:22" ht="14.25" customHeight="1">
      <c r="A152" s="25">
        <v>29</v>
      </c>
      <c r="B152" s="26" t="s">
        <v>188</v>
      </c>
      <c r="C152" s="26" t="s">
        <v>205</v>
      </c>
      <c r="D152" s="25" t="s">
        <v>25</v>
      </c>
      <c r="E152" s="25" t="s">
        <v>206</v>
      </c>
      <c r="F152" s="25" t="s">
        <v>207</v>
      </c>
      <c r="G152" s="5" t="s">
        <v>28</v>
      </c>
      <c r="H152" s="5" t="s">
        <v>29</v>
      </c>
      <c r="I152" s="5">
        <v>28.950368999999998</v>
      </c>
      <c r="J152" s="5">
        <v>76.045141000000001</v>
      </c>
      <c r="K152" s="5" t="s">
        <v>208</v>
      </c>
      <c r="L152" s="5"/>
      <c r="M152" s="5"/>
      <c r="N152" s="5"/>
      <c r="O152" s="5"/>
      <c r="P152" s="5" t="s">
        <v>209</v>
      </c>
      <c r="Q152" s="5"/>
      <c r="R152" s="5">
        <f t="shared" si="2"/>
        <v>1083</v>
      </c>
      <c r="S152" s="5">
        <v>1</v>
      </c>
      <c r="T152" s="5">
        <v>57</v>
      </c>
      <c r="U152" s="5">
        <v>19</v>
      </c>
      <c r="V152" s="22"/>
    </row>
    <row r="153" spans="1:22" ht="14.25" customHeight="1">
      <c r="A153" s="25"/>
      <c r="B153" s="26"/>
      <c r="C153" s="26"/>
      <c r="D153" s="25"/>
      <c r="E153" s="25"/>
      <c r="F153" s="25"/>
      <c r="G153" s="5" t="s">
        <v>28</v>
      </c>
      <c r="H153" s="5" t="s">
        <v>29</v>
      </c>
      <c r="I153" s="5">
        <v>28.950112000000001</v>
      </c>
      <c r="J153" s="5">
        <v>76.045111000000006</v>
      </c>
      <c r="K153" s="5" t="s">
        <v>210</v>
      </c>
      <c r="L153" s="5"/>
      <c r="M153" s="5"/>
      <c r="N153" s="5"/>
      <c r="O153" s="5"/>
      <c r="P153" s="5" t="s">
        <v>209</v>
      </c>
      <c r="Q153" s="5"/>
      <c r="R153" s="5">
        <f t="shared" si="2"/>
        <v>1415.5</v>
      </c>
      <c r="S153" s="5">
        <v>1</v>
      </c>
      <c r="T153" s="5">
        <v>74.5</v>
      </c>
      <c r="U153" s="5">
        <v>19</v>
      </c>
      <c r="V153" s="22"/>
    </row>
    <row r="154" spans="1:22" ht="14.25" customHeight="1">
      <c r="A154" s="25">
        <v>30</v>
      </c>
      <c r="B154" s="26" t="s">
        <v>211</v>
      </c>
      <c r="C154" s="26" t="s">
        <v>212</v>
      </c>
      <c r="D154" s="25" t="s">
        <v>25</v>
      </c>
      <c r="E154" s="25" t="s">
        <v>213</v>
      </c>
      <c r="F154" s="25" t="s">
        <v>214</v>
      </c>
      <c r="G154" s="5" t="s">
        <v>28</v>
      </c>
      <c r="H154" s="5" t="s">
        <v>29</v>
      </c>
      <c r="I154" s="5">
        <v>29.171879000000001</v>
      </c>
      <c r="J154" s="5">
        <v>75.770743999999993</v>
      </c>
      <c r="K154" s="5" t="s">
        <v>215</v>
      </c>
      <c r="L154" s="5"/>
      <c r="M154" s="5"/>
      <c r="N154" s="5"/>
      <c r="O154" s="5"/>
      <c r="P154" s="5" t="s">
        <v>216</v>
      </c>
      <c r="Q154" s="5"/>
      <c r="R154" s="5">
        <f t="shared" si="2"/>
        <v>324</v>
      </c>
      <c r="S154" s="5">
        <v>1</v>
      </c>
      <c r="T154" s="5">
        <v>27</v>
      </c>
      <c r="U154" s="5">
        <v>12</v>
      </c>
      <c r="V154" s="22"/>
    </row>
    <row r="155" spans="1:22" ht="14.25" customHeight="1">
      <c r="A155" s="25"/>
      <c r="B155" s="26"/>
      <c r="C155" s="26"/>
      <c r="D155" s="25"/>
      <c r="E155" s="25"/>
      <c r="F155" s="2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>
        <f t="shared" si="2"/>
        <v>135</v>
      </c>
      <c r="S155" s="5">
        <v>1</v>
      </c>
      <c r="T155" s="5">
        <v>13.5</v>
      </c>
      <c r="U155" s="5">
        <v>10</v>
      </c>
      <c r="V155" s="22"/>
    </row>
    <row r="156" spans="1:22" ht="14.25" customHeight="1">
      <c r="A156" s="25"/>
      <c r="B156" s="26"/>
      <c r="C156" s="26"/>
      <c r="D156" s="25"/>
      <c r="E156" s="25"/>
      <c r="F156" s="2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>
        <f t="shared" si="2"/>
        <v>427.5</v>
      </c>
      <c r="S156" s="5">
        <v>1</v>
      </c>
      <c r="T156" s="5">
        <v>57</v>
      </c>
      <c r="U156" s="5">
        <v>7.5</v>
      </c>
      <c r="V156" s="22"/>
    </row>
    <row r="157" spans="1:22" ht="14.25" customHeight="1">
      <c r="A157" s="25"/>
      <c r="B157" s="26"/>
      <c r="C157" s="26"/>
      <c r="D157" s="25"/>
      <c r="E157" s="25"/>
      <c r="F157" s="25"/>
      <c r="G157" s="5" t="s">
        <v>28</v>
      </c>
      <c r="H157" s="5" t="s">
        <v>29</v>
      </c>
      <c r="I157" s="5">
        <v>29.17184</v>
      </c>
      <c r="J157" s="5">
        <v>75.770374000000004</v>
      </c>
      <c r="K157" s="5" t="s">
        <v>217</v>
      </c>
      <c r="L157" s="5"/>
      <c r="M157" s="5"/>
      <c r="N157" s="5"/>
      <c r="O157" s="5"/>
      <c r="P157" s="5" t="s">
        <v>218</v>
      </c>
      <c r="Q157" s="5"/>
      <c r="R157" s="5">
        <f t="shared" si="2"/>
        <v>1958</v>
      </c>
      <c r="S157" s="5">
        <v>1</v>
      </c>
      <c r="T157" s="5">
        <v>89</v>
      </c>
      <c r="U157" s="5">
        <v>22</v>
      </c>
      <c r="V157" s="22"/>
    </row>
    <row r="158" spans="1:22" ht="14.25" customHeight="1">
      <c r="A158" s="25"/>
      <c r="B158" s="26"/>
      <c r="C158" s="26"/>
      <c r="D158" s="25"/>
      <c r="E158" s="25"/>
      <c r="F158" s="2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>
        <f t="shared" si="2"/>
        <v>1496.5</v>
      </c>
      <c r="S158" s="5">
        <v>1</v>
      </c>
      <c r="T158" s="5">
        <v>73</v>
      </c>
      <c r="U158" s="5">
        <v>20.5</v>
      </c>
      <c r="V158" s="22"/>
    </row>
    <row r="159" spans="1:22" ht="14.25" customHeight="1">
      <c r="A159" s="25"/>
      <c r="B159" s="26"/>
      <c r="C159" s="26"/>
      <c r="D159" s="25"/>
      <c r="E159" s="25"/>
      <c r="F159" s="25"/>
      <c r="G159" s="5" t="s">
        <v>28</v>
      </c>
      <c r="H159" s="5" t="s">
        <v>29</v>
      </c>
      <c r="I159" s="5">
        <v>29.172113</v>
      </c>
      <c r="J159" s="5">
        <v>75.770902000000007</v>
      </c>
      <c r="K159" s="5" t="s">
        <v>219</v>
      </c>
      <c r="L159" s="5"/>
      <c r="M159" s="5"/>
      <c r="N159" s="5"/>
      <c r="O159" s="5"/>
      <c r="P159" s="5" t="s">
        <v>220</v>
      </c>
      <c r="Q159" s="5"/>
      <c r="R159" s="5">
        <f t="shared" si="2"/>
        <v>1958</v>
      </c>
      <c r="S159" s="5">
        <v>1</v>
      </c>
      <c r="T159" s="5">
        <v>89</v>
      </c>
      <c r="U159" s="5">
        <v>22</v>
      </c>
      <c r="V159" s="22"/>
    </row>
    <row r="160" spans="1:22" ht="14.25" customHeight="1">
      <c r="A160" s="5">
        <v>31</v>
      </c>
      <c r="B160" s="4" t="s">
        <v>211</v>
      </c>
      <c r="C160" s="4" t="s">
        <v>221</v>
      </c>
      <c r="D160" s="5" t="s">
        <v>25</v>
      </c>
      <c r="E160" s="5" t="s">
        <v>213</v>
      </c>
      <c r="F160" s="5" t="s">
        <v>222</v>
      </c>
      <c r="G160" s="5" t="s">
        <v>28</v>
      </c>
      <c r="H160" s="5" t="s">
        <v>29</v>
      </c>
      <c r="I160" s="5">
        <v>29.357804000000002</v>
      </c>
      <c r="J160" s="5">
        <v>75.890218000000004</v>
      </c>
      <c r="K160" s="5" t="s">
        <v>223</v>
      </c>
      <c r="L160" s="5"/>
      <c r="M160" s="5"/>
      <c r="N160" s="5"/>
      <c r="O160" s="5"/>
      <c r="P160" s="5" t="s">
        <v>224</v>
      </c>
      <c r="Q160" s="5"/>
      <c r="R160" s="5">
        <f t="shared" si="2"/>
        <v>1680</v>
      </c>
      <c r="S160" s="5">
        <v>1</v>
      </c>
      <c r="T160" s="5">
        <v>80</v>
      </c>
      <c r="U160" s="5">
        <v>21</v>
      </c>
      <c r="V160" s="22"/>
    </row>
    <row r="161" spans="1:22" ht="14.25" customHeight="1">
      <c r="A161" s="25">
        <v>32</v>
      </c>
      <c r="B161" s="26" t="s">
        <v>211</v>
      </c>
      <c r="C161" s="26" t="s">
        <v>225</v>
      </c>
      <c r="D161" s="25" t="s">
        <v>25</v>
      </c>
      <c r="E161" s="25" t="s">
        <v>213</v>
      </c>
      <c r="F161" s="25" t="s">
        <v>222</v>
      </c>
      <c r="G161" s="5" t="s">
        <v>28</v>
      </c>
      <c r="H161" s="5" t="s">
        <v>29</v>
      </c>
      <c r="I161" s="5">
        <v>29.357863999999999</v>
      </c>
      <c r="J161" s="5">
        <v>75.890020000000007</v>
      </c>
      <c r="K161" s="5" t="s">
        <v>226</v>
      </c>
      <c r="L161" s="5"/>
      <c r="M161" s="5"/>
      <c r="N161" s="5"/>
      <c r="O161" s="5"/>
      <c r="P161" s="5" t="s">
        <v>224</v>
      </c>
      <c r="Q161" s="5"/>
      <c r="R161" s="5">
        <f t="shared" si="2"/>
        <v>1743</v>
      </c>
      <c r="S161" s="5">
        <v>1</v>
      </c>
      <c r="T161" s="5">
        <v>83</v>
      </c>
      <c r="U161" s="5">
        <v>21</v>
      </c>
      <c r="V161" s="22"/>
    </row>
    <row r="162" spans="1:22" ht="14.25" customHeight="1">
      <c r="A162" s="25"/>
      <c r="B162" s="26"/>
      <c r="C162" s="26"/>
      <c r="D162" s="25"/>
      <c r="E162" s="25"/>
      <c r="F162" s="2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>
        <f t="shared" si="2"/>
        <v>60</v>
      </c>
      <c r="S162" s="5">
        <v>1</v>
      </c>
      <c r="T162" s="5">
        <v>15</v>
      </c>
      <c r="U162" s="5">
        <v>4</v>
      </c>
      <c r="V162" s="22"/>
    </row>
    <row r="163" spans="1:22" ht="14.25" customHeight="1">
      <c r="A163" s="25">
        <v>33</v>
      </c>
      <c r="B163" s="26" t="s">
        <v>23</v>
      </c>
      <c r="C163" s="26" t="s">
        <v>227</v>
      </c>
      <c r="D163" s="25" t="s">
        <v>25</v>
      </c>
      <c r="E163" s="25" t="s">
        <v>85</v>
      </c>
      <c r="F163" s="25" t="s">
        <v>228</v>
      </c>
      <c r="G163" s="5" t="s">
        <v>28</v>
      </c>
      <c r="H163" s="5" t="s">
        <v>29</v>
      </c>
      <c r="I163" s="5">
        <v>29.356407999999998</v>
      </c>
      <c r="J163" s="5">
        <v>76.491645000000005</v>
      </c>
      <c r="K163" s="5" t="s">
        <v>229</v>
      </c>
      <c r="L163" s="5" t="s">
        <v>36</v>
      </c>
      <c r="M163" s="5"/>
      <c r="N163" s="5"/>
      <c r="O163" s="5"/>
      <c r="P163" s="5" t="s">
        <v>230</v>
      </c>
      <c r="Q163" s="5"/>
      <c r="R163" s="5">
        <f t="shared" si="2"/>
        <v>912</v>
      </c>
      <c r="S163" s="5">
        <v>1</v>
      </c>
      <c r="T163" s="5">
        <v>57</v>
      </c>
      <c r="U163" s="5">
        <v>16</v>
      </c>
      <c r="V163" s="22"/>
    </row>
    <row r="164" spans="1:22" ht="14.25" customHeight="1">
      <c r="A164" s="25"/>
      <c r="B164" s="26"/>
      <c r="C164" s="26" t="s">
        <v>231</v>
      </c>
      <c r="D164" s="25"/>
      <c r="E164" s="25"/>
      <c r="F164" s="25"/>
      <c r="G164" s="5" t="s">
        <v>28</v>
      </c>
      <c r="H164" s="5" t="s">
        <v>29</v>
      </c>
      <c r="I164" s="5">
        <v>29.356641</v>
      </c>
      <c r="J164" s="5">
        <v>76.491596000000001</v>
      </c>
      <c r="K164" s="5" t="s">
        <v>232</v>
      </c>
      <c r="L164" s="5"/>
      <c r="M164" s="5"/>
      <c r="N164" s="5"/>
      <c r="O164" s="5"/>
      <c r="P164" s="5" t="s">
        <v>230</v>
      </c>
      <c r="Q164" s="5"/>
      <c r="R164" s="5">
        <f t="shared" si="2"/>
        <v>432</v>
      </c>
      <c r="S164" s="5">
        <v>1</v>
      </c>
      <c r="T164" s="5">
        <v>27</v>
      </c>
      <c r="U164" s="5">
        <v>16</v>
      </c>
      <c r="V164" s="22"/>
    </row>
    <row r="165" spans="1:22" ht="14.25" customHeight="1">
      <c r="A165" s="25">
        <v>34</v>
      </c>
      <c r="B165" s="26" t="s">
        <v>23</v>
      </c>
      <c r="C165" s="26" t="s">
        <v>233</v>
      </c>
      <c r="D165" s="25" t="s">
        <v>25</v>
      </c>
      <c r="E165" s="25" t="s">
        <v>234</v>
      </c>
      <c r="F165" s="25" t="s">
        <v>235</v>
      </c>
      <c r="G165" s="5" t="s">
        <v>28</v>
      </c>
      <c r="H165" s="5" t="s">
        <v>29</v>
      </c>
      <c r="I165" s="5">
        <v>29.770447999999998</v>
      </c>
      <c r="J165" s="5">
        <v>76.566880999999995</v>
      </c>
      <c r="K165" s="5" t="s">
        <v>236</v>
      </c>
      <c r="L165" s="5" t="s">
        <v>36</v>
      </c>
      <c r="M165" s="5"/>
      <c r="N165" s="5"/>
      <c r="O165" s="5"/>
      <c r="P165" s="5" t="s">
        <v>237</v>
      </c>
      <c r="Q165" s="5"/>
      <c r="R165" s="5">
        <f t="shared" si="2"/>
        <v>1616</v>
      </c>
      <c r="S165" s="5">
        <v>1</v>
      </c>
      <c r="T165" s="5">
        <v>101</v>
      </c>
      <c r="U165" s="5">
        <v>16</v>
      </c>
      <c r="V165" s="22"/>
    </row>
    <row r="166" spans="1:22" ht="14.25" customHeight="1">
      <c r="A166" s="25"/>
      <c r="B166" s="26"/>
      <c r="C166" s="26"/>
      <c r="D166" s="25"/>
      <c r="E166" s="25"/>
      <c r="F166" s="2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>
        <f t="shared" si="2"/>
        <v>168</v>
      </c>
      <c r="S166" s="5">
        <v>1</v>
      </c>
      <c r="T166" s="5">
        <v>14</v>
      </c>
      <c r="U166" s="5">
        <v>12</v>
      </c>
      <c r="V166" s="22"/>
    </row>
    <row r="167" spans="1:22" ht="14.25" customHeight="1">
      <c r="A167" s="25"/>
      <c r="B167" s="26"/>
      <c r="C167" s="26"/>
      <c r="D167" s="25"/>
      <c r="E167" s="25"/>
      <c r="F167" s="25"/>
      <c r="G167" s="5" t="s">
        <v>28</v>
      </c>
      <c r="H167" s="5" t="s">
        <v>29</v>
      </c>
      <c r="I167" s="5">
        <v>29.770465000000002</v>
      </c>
      <c r="J167" s="5">
        <v>76.566967000000005</v>
      </c>
      <c r="K167" s="5" t="s">
        <v>238</v>
      </c>
      <c r="L167" s="5" t="s">
        <v>36</v>
      </c>
      <c r="M167" s="5"/>
      <c r="N167" s="5"/>
      <c r="O167" s="5"/>
      <c r="P167" s="5" t="s">
        <v>237</v>
      </c>
      <c r="Q167" s="5"/>
      <c r="R167" s="5">
        <f t="shared" si="2"/>
        <v>1392</v>
      </c>
      <c r="S167" s="5">
        <v>1</v>
      </c>
      <c r="T167" s="5">
        <v>87</v>
      </c>
      <c r="U167" s="5">
        <v>16</v>
      </c>
      <c r="V167" s="22"/>
    </row>
    <row r="168" spans="1:22" ht="14.25" customHeight="1">
      <c r="A168" s="25"/>
      <c r="B168" s="26"/>
      <c r="C168" s="26"/>
      <c r="D168" s="25"/>
      <c r="E168" s="25"/>
      <c r="F168" s="2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>
        <f t="shared" si="2"/>
        <v>25</v>
      </c>
      <c r="S168" s="5">
        <v>1</v>
      </c>
      <c r="T168" s="5">
        <v>2.5</v>
      </c>
      <c r="U168" s="5">
        <v>10</v>
      </c>
      <c r="V168" s="22"/>
    </row>
    <row r="169" spans="1:22" ht="14.25" customHeight="1">
      <c r="A169" s="25"/>
      <c r="B169" s="26"/>
      <c r="C169" s="26"/>
      <c r="D169" s="25"/>
      <c r="E169" s="25"/>
      <c r="F169" s="2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>
        <f t="shared" si="2"/>
        <v>156</v>
      </c>
      <c r="S169" s="5">
        <v>1</v>
      </c>
      <c r="T169" s="5">
        <v>13</v>
      </c>
      <c r="U169" s="5">
        <v>12</v>
      </c>
      <c r="V169" s="22"/>
    </row>
    <row r="170" spans="1:22" ht="14.25" customHeight="1">
      <c r="A170" s="25"/>
      <c r="B170" s="26"/>
      <c r="C170" s="26"/>
      <c r="D170" s="25"/>
      <c r="E170" s="25"/>
      <c r="F170" s="25"/>
      <c r="G170" s="5" t="s">
        <v>28</v>
      </c>
      <c r="H170" s="5" t="s">
        <v>29</v>
      </c>
      <c r="I170" s="5">
        <v>29.768529999999998</v>
      </c>
      <c r="J170" s="5">
        <v>76.566543999999993</v>
      </c>
      <c r="K170" s="5" t="s">
        <v>239</v>
      </c>
      <c r="L170" s="5"/>
      <c r="M170" s="5"/>
      <c r="N170" s="5"/>
      <c r="O170" s="5"/>
      <c r="P170" s="5" t="s">
        <v>237</v>
      </c>
      <c r="Q170" s="5"/>
      <c r="R170" s="5">
        <f t="shared" si="2"/>
        <v>1485</v>
      </c>
      <c r="S170" s="5">
        <v>1</v>
      </c>
      <c r="T170" s="5">
        <v>82.5</v>
      </c>
      <c r="U170" s="5">
        <v>18</v>
      </c>
      <c r="V170" s="22"/>
    </row>
    <row r="171" spans="1:22" ht="14.25" customHeight="1">
      <c r="A171" s="25">
        <v>35</v>
      </c>
      <c r="B171" s="26" t="s">
        <v>23</v>
      </c>
      <c r="C171" s="26" t="s">
        <v>240</v>
      </c>
      <c r="D171" s="25" t="s">
        <v>25</v>
      </c>
      <c r="E171" s="25" t="s">
        <v>241</v>
      </c>
      <c r="F171" s="25" t="s">
        <v>242</v>
      </c>
      <c r="G171" s="5" t="s">
        <v>28</v>
      </c>
      <c r="H171" s="5" t="s">
        <v>29</v>
      </c>
      <c r="I171" s="5">
        <v>29.989073000000001</v>
      </c>
      <c r="J171" s="5">
        <v>76.588795000000005</v>
      </c>
      <c r="K171" s="5" t="s">
        <v>243</v>
      </c>
      <c r="L171" s="5" t="s">
        <v>36</v>
      </c>
      <c r="M171" s="5"/>
      <c r="N171" s="5"/>
      <c r="O171" s="5"/>
      <c r="P171" s="5" t="s">
        <v>244</v>
      </c>
      <c r="Q171" s="5"/>
      <c r="R171" s="5">
        <f t="shared" si="2"/>
        <v>227.5</v>
      </c>
      <c r="S171" s="5">
        <v>1</v>
      </c>
      <c r="T171" s="5">
        <v>13</v>
      </c>
      <c r="U171" s="5">
        <v>17.5</v>
      </c>
    </row>
    <row r="172" spans="1:22" ht="14.25" customHeight="1">
      <c r="A172" s="25"/>
      <c r="B172" s="26"/>
      <c r="C172" s="26"/>
      <c r="D172" s="25"/>
      <c r="E172" s="25"/>
      <c r="F172" s="25"/>
      <c r="G172" s="5" t="s">
        <v>28</v>
      </c>
      <c r="H172" s="5" t="s">
        <v>29</v>
      </c>
      <c r="I172" s="5">
        <v>29.98903</v>
      </c>
      <c r="J172" s="5">
        <v>76.588920000000002</v>
      </c>
      <c r="K172" s="5" t="s">
        <v>245</v>
      </c>
      <c r="L172" s="5"/>
      <c r="M172" s="5"/>
      <c r="N172" s="5"/>
      <c r="O172" s="5"/>
      <c r="P172" s="5" t="s">
        <v>244</v>
      </c>
      <c r="Q172" s="5"/>
      <c r="R172" s="5">
        <f t="shared" si="2"/>
        <v>1500</v>
      </c>
      <c r="S172" s="5">
        <v>1</v>
      </c>
      <c r="T172" s="5">
        <v>75</v>
      </c>
      <c r="U172" s="5">
        <v>20</v>
      </c>
    </row>
    <row r="173" spans="1:22" ht="14.25" customHeight="1">
      <c r="A173" s="25"/>
      <c r="B173" s="26"/>
      <c r="C173" s="26"/>
      <c r="D173" s="25"/>
      <c r="E173" s="25"/>
      <c r="F173" s="25"/>
      <c r="G173" s="5" t="s">
        <v>28</v>
      </c>
      <c r="H173" s="5" t="s">
        <v>29</v>
      </c>
      <c r="I173" s="5">
        <v>29.988956999999999</v>
      </c>
      <c r="J173" s="5">
        <v>76.589134000000001</v>
      </c>
      <c r="K173" s="5" t="s">
        <v>246</v>
      </c>
      <c r="L173" s="5" t="s">
        <v>36</v>
      </c>
      <c r="M173" s="5"/>
      <c r="N173" s="5"/>
      <c r="O173" s="5"/>
      <c r="P173" s="5" t="s">
        <v>244</v>
      </c>
      <c r="Q173" s="5"/>
      <c r="R173" s="5">
        <f t="shared" si="2"/>
        <v>216</v>
      </c>
      <c r="S173" s="5">
        <v>2</v>
      </c>
      <c r="T173" s="5">
        <v>9</v>
      </c>
      <c r="U173" s="5">
        <v>12</v>
      </c>
    </row>
    <row r="174" spans="1:22" ht="14.25" customHeight="1">
      <c r="A174" s="25"/>
      <c r="B174" s="26"/>
      <c r="C174" s="26"/>
      <c r="D174" s="25"/>
      <c r="E174" s="25"/>
      <c r="F174" s="2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>
        <f t="shared" si="2"/>
        <v>21</v>
      </c>
      <c r="S174" s="5">
        <v>1</v>
      </c>
      <c r="T174" s="5">
        <v>3</v>
      </c>
      <c r="U174" s="5">
        <v>7</v>
      </c>
    </row>
    <row r="175" spans="1:22" ht="14.25" customHeight="1">
      <c r="A175" s="25">
        <v>36</v>
      </c>
      <c r="B175" s="26" t="s">
        <v>23</v>
      </c>
      <c r="C175" s="26" t="s">
        <v>247</v>
      </c>
      <c r="D175" s="25" t="s">
        <v>25</v>
      </c>
      <c r="E175" s="25" t="s">
        <v>241</v>
      </c>
      <c r="F175" s="25" t="s">
        <v>248</v>
      </c>
      <c r="G175" s="5" t="s">
        <v>28</v>
      </c>
      <c r="H175" s="5" t="s">
        <v>29</v>
      </c>
      <c r="I175" s="5">
        <v>29.981096000000001</v>
      </c>
      <c r="J175" s="5">
        <v>76.581176999999997</v>
      </c>
      <c r="K175" s="5" t="s">
        <v>249</v>
      </c>
      <c r="L175" s="5"/>
      <c r="M175" s="5"/>
      <c r="N175" s="5"/>
      <c r="O175" s="5"/>
      <c r="P175" s="5" t="s">
        <v>250</v>
      </c>
      <c r="Q175" s="5"/>
      <c r="R175" s="5">
        <f t="shared" si="2"/>
        <v>1096.5</v>
      </c>
      <c r="S175" s="5">
        <v>1</v>
      </c>
      <c r="T175" s="5">
        <v>43</v>
      </c>
      <c r="U175" s="5">
        <v>25.5</v>
      </c>
    </row>
    <row r="176" spans="1:22" ht="14.25" customHeight="1">
      <c r="A176" s="25"/>
      <c r="B176" s="26"/>
      <c r="C176" s="26"/>
      <c r="D176" s="25"/>
      <c r="E176" s="25"/>
      <c r="F176" s="25"/>
      <c r="G176" s="5" t="s">
        <v>28</v>
      </c>
      <c r="H176" s="5" t="s">
        <v>29</v>
      </c>
      <c r="I176" s="5">
        <v>29.990548</v>
      </c>
      <c r="J176" s="5">
        <v>76.587986000000001</v>
      </c>
      <c r="K176" s="5" t="s">
        <v>251</v>
      </c>
      <c r="L176" s="5"/>
      <c r="M176" s="5"/>
      <c r="N176" s="5"/>
      <c r="O176" s="5"/>
      <c r="P176" s="5" t="s">
        <v>250</v>
      </c>
      <c r="Q176" s="5"/>
      <c r="R176" s="5">
        <f t="shared" si="2"/>
        <v>792</v>
      </c>
      <c r="S176" s="5">
        <v>1</v>
      </c>
      <c r="T176" s="5">
        <v>44</v>
      </c>
      <c r="U176" s="5">
        <v>18</v>
      </c>
    </row>
    <row r="177" spans="1:22" ht="14.25" customHeight="1">
      <c r="A177" s="25"/>
      <c r="B177" s="26"/>
      <c r="C177" s="26"/>
      <c r="D177" s="25"/>
      <c r="E177" s="25"/>
      <c r="F177" s="25"/>
      <c r="G177" s="5" t="s">
        <v>28</v>
      </c>
      <c r="H177" s="5" t="s">
        <v>29</v>
      </c>
      <c r="I177" s="5">
        <v>29.990898999999999</v>
      </c>
      <c r="J177" s="5">
        <v>76.588042999999999</v>
      </c>
      <c r="K177" s="5" t="s">
        <v>252</v>
      </c>
      <c r="L177" s="5"/>
      <c r="M177" s="5"/>
      <c r="N177" s="5"/>
      <c r="O177" s="5"/>
      <c r="P177" s="5" t="s">
        <v>250</v>
      </c>
      <c r="Q177" s="5"/>
      <c r="R177" s="5">
        <f t="shared" si="2"/>
        <v>720</v>
      </c>
      <c r="S177" s="5">
        <v>1</v>
      </c>
      <c r="T177" s="5">
        <v>40</v>
      </c>
      <c r="U177" s="5">
        <v>18</v>
      </c>
    </row>
    <row r="178" spans="1:22" ht="14.25" customHeight="1">
      <c r="A178" s="25">
        <v>37</v>
      </c>
      <c r="B178" s="26" t="s">
        <v>23</v>
      </c>
      <c r="C178" s="26" t="s">
        <v>253</v>
      </c>
      <c r="D178" s="25" t="s">
        <v>25</v>
      </c>
      <c r="E178" s="25" t="s">
        <v>241</v>
      </c>
      <c r="F178" s="25" t="s">
        <v>254</v>
      </c>
      <c r="G178" s="5" t="s">
        <v>28</v>
      </c>
      <c r="H178" s="5" t="s">
        <v>29</v>
      </c>
      <c r="I178" s="5">
        <v>30.226202000000001</v>
      </c>
      <c r="J178" s="5">
        <v>76.913242999999994</v>
      </c>
      <c r="K178" s="5" t="s">
        <v>255</v>
      </c>
      <c r="L178" s="5"/>
      <c r="M178" s="5"/>
      <c r="N178" s="5"/>
      <c r="O178" s="5"/>
      <c r="P178" s="5" t="s">
        <v>256</v>
      </c>
      <c r="Q178" s="5"/>
      <c r="R178" s="5">
        <f t="shared" si="2"/>
        <v>484.5</v>
      </c>
      <c r="S178" s="5">
        <v>1</v>
      </c>
      <c r="T178" s="5">
        <v>51</v>
      </c>
      <c r="U178" s="5">
        <v>9.5</v>
      </c>
    </row>
    <row r="179" spans="1:22" ht="14.25" customHeight="1">
      <c r="A179" s="25"/>
      <c r="B179" s="26"/>
      <c r="C179" s="26"/>
      <c r="D179" s="25"/>
      <c r="E179" s="25"/>
      <c r="F179" s="25"/>
      <c r="G179" s="5" t="s">
        <v>28</v>
      </c>
      <c r="H179" s="5" t="s">
        <v>29</v>
      </c>
      <c r="I179" s="5">
        <v>30.226195000000001</v>
      </c>
      <c r="J179" s="5">
        <v>76.913194000000004</v>
      </c>
      <c r="K179" s="5" t="s">
        <v>257</v>
      </c>
      <c r="L179" s="5"/>
      <c r="M179" s="5"/>
      <c r="N179" s="5"/>
      <c r="O179" s="5"/>
      <c r="P179" s="5" t="s">
        <v>256</v>
      </c>
      <c r="Q179" s="5"/>
      <c r="R179" s="5">
        <f t="shared" si="2"/>
        <v>330</v>
      </c>
      <c r="S179" s="5">
        <v>1</v>
      </c>
      <c r="T179" s="5">
        <v>30</v>
      </c>
      <c r="U179" s="5">
        <v>11</v>
      </c>
    </row>
    <row r="180" spans="1:22" ht="14.25" customHeight="1">
      <c r="A180" s="25"/>
      <c r="B180" s="26"/>
      <c r="C180" s="26"/>
      <c r="D180" s="25"/>
      <c r="E180" s="25"/>
      <c r="F180" s="2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>
        <f t="shared" si="2"/>
        <v>30</v>
      </c>
      <c r="S180" s="5">
        <v>2</v>
      </c>
      <c r="T180" s="5">
        <v>3</v>
      </c>
      <c r="U180" s="5">
        <v>5</v>
      </c>
    </row>
    <row r="181" spans="1:22" ht="14.25" customHeight="1">
      <c r="A181" s="25"/>
      <c r="B181" s="26"/>
      <c r="C181" s="26"/>
      <c r="D181" s="25"/>
      <c r="E181" s="25"/>
      <c r="F181" s="25"/>
      <c r="G181" s="5" t="s">
        <v>28</v>
      </c>
      <c r="H181" s="5" t="s">
        <v>29</v>
      </c>
      <c r="I181" s="5">
        <v>30.226316000000001</v>
      </c>
      <c r="J181" s="5">
        <v>76.913284000000004</v>
      </c>
      <c r="K181" s="5" t="s">
        <v>258</v>
      </c>
      <c r="L181" s="5"/>
      <c r="M181" s="5"/>
      <c r="N181" s="5"/>
      <c r="O181" s="5"/>
      <c r="P181" s="5" t="s">
        <v>256</v>
      </c>
      <c r="Q181" s="5"/>
      <c r="R181" s="5">
        <f t="shared" si="2"/>
        <v>484.5</v>
      </c>
      <c r="S181" s="5">
        <v>1</v>
      </c>
      <c r="T181" s="5">
        <v>51</v>
      </c>
      <c r="U181" s="5">
        <v>9.5</v>
      </c>
    </row>
    <row r="182" spans="1:22" ht="14.25" customHeight="1">
      <c r="A182" s="25"/>
      <c r="B182" s="26"/>
      <c r="C182" s="26"/>
      <c r="D182" s="25"/>
      <c r="E182" s="25"/>
      <c r="F182" s="25"/>
      <c r="G182" s="5" t="s">
        <v>28</v>
      </c>
      <c r="H182" s="5" t="s">
        <v>29</v>
      </c>
      <c r="I182" s="5">
        <v>30.226379000000001</v>
      </c>
      <c r="J182" s="5">
        <v>76.913117999999997</v>
      </c>
      <c r="K182" s="5" t="s">
        <v>259</v>
      </c>
      <c r="L182" s="5" t="s">
        <v>36</v>
      </c>
      <c r="M182" s="5"/>
      <c r="N182" s="5"/>
      <c r="O182" s="5"/>
      <c r="P182" s="5" t="s">
        <v>256</v>
      </c>
      <c r="Q182" s="5"/>
      <c r="R182" s="5">
        <f t="shared" si="2"/>
        <v>299</v>
      </c>
      <c r="S182" s="5">
        <v>1</v>
      </c>
      <c r="T182" s="5">
        <v>26</v>
      </c>
      <c r="U182" s="5">
        <v>11.5</v>
      </c>
    </row>
    <row r="183" spans="1:22" ht="14.25" customHeight="1">
      <c r="A183" s="25"/>
      <c r="B183" s="26"/>
      <c r="C183" s="26"/>
      <c r="D183" s="25"/>
      <c r="E183" s="25"/>
      <c r="F183" s="2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>
        <f t="shared" si="2"/>
        <v>350</v>
      </c>
      <c r="S183" s="5">
        <v>1</v>
      </c>
      <c r="T183" s="5">
        <v>50</v>
      </c>
      <c r="U183" s="5">
        <v>7</v>
      </c>
    </row>
    <row r="184" spans="1:22" ht="14.25" customHeight="1">
      <c r="A184" s="25"/>
      <c r="B184" s="26"/>
      <c r="C184" s="26"/>
      <c r="D184" s="25"/>
      <c r="E184" s="25"/>
      <c r="F184" s="25"/>
      <c r="G184" s="5" t="s">
        <v>28</v>
      </c>
      <c r="H184" s="5" t="s">
        <v>29</v>
      </c>
      <c r="I184" s="5">
        <v>30.227402000000001</v>
      </c>
      <c r="J184" s="5">
        <v>76.912475000000001</v>
      </c>
      <c r="K184" s="5" t="s">
        <v>260</v>
      </c>
      <c r="L184" s="5"/>
      <c r="M184" s="5"/>
      <c r="N184" s="5"/>
      <c r="O184" s="5"/>
      <c r="P184" s="5" t="s">
        <v>261</v>
      </c>
      <c r="Q184" s="5"/>
      <c r="R184" s="5">
        <f t="shared" si="2"/>
        <v>847.5</v>
      </c>
      <c r="S184" s="5">
        <v>1</v>
      </c>
      <c r="T184" s="5">
        <v>56.5</v>
      </c>
      <c r="U184" s="5">
        <v>15</v>
      </c>
    </row>
    <row r="185" spans="1:22" ht="14.25" customHeight="1">
      <c r="A185" s="25">
        <v>38</v>
      </c>
      <c r="B185" s="26" t="s">
        <v>23</v>
      </c>
      <c r="C185" s="26" t="s">
        <v>262</v>
      </c>
      <c r="D185" s="25" t="s">
        <v>25</v>
      </c>
      <c r="E185" s="25" t="s">
        <v>241</v>
      </c>
      <c r="F185" s="25" t="s">
        <v>263</v>
      </c>
      <c r="G185" s="5" t="s">
        <v>28</v>
      </c>
      <c r="H185" s="5" t="s">
        <v>29</v>
      </c>
      <c r="I185" s="5">
        <v>30.227636</v>
      </c>
      <c r="J185" s="5">
        <v>76.911672999999993</v>
      </c>
      <c r="K185" s="5" t="s">
        <v>264</v>
      </c>
      <c r="L185" s="5"/>
      <c r="M185" s="5"/>
      <c r="N185" s="5"/>
      <c r="O185" s="5"/>
      <c r="P185" s="5" t="s">
        <v>256</v>
      </c>
      <c r="Q185" s="5"/>
      <c r="R185" s="5">
        <f t="shared" si="2"/>
        <v>665</v>
      </c>
      <c r="S185" s="5">
        <v>1</v>
      </c>
      <c r="T185" s="5">
        <v>35</v>
      </c>
      <c r="U185" s="5">
        <v>19</v>
      </c>
    </row>
    <row r="186" spans="1:22" ht="14.25" customHeight="1">
      <c r="A186" s="25"/>
      <c r="B186" s="26"/>
      <c r="C186" s="26"/>
      <c r="D186" s="25"/>
      <c r="E186" s="25"/>
      <c r="F186" s="25"/>
      <c r="G186" s="5" t="s">
        <v>28</v>
      </c>
      <c r="H186" s="5" t="s">
        <v>29</v>
      </c>
      <c r="I186" s="5">
        <v>30.227456</v>
      </c>
      <c r="J186" s="5">
        <v>76.911916000000005</v>
      </c>
      <c r="K186" s="5" t="s">
        <v>265</v>
      </c>
      <c r="L186" s="5"/>
      <c r="M186" s="5"/>
      <c r="N186" s="5"/>
      <c r="O186" s="5"/>
      <c r="P186" s="5" t="s">
        <v>256</v>
      </c>
      <c r="Q186" s="5"/>
      <c r="R186" s="5">
        <f t="shared" si="2"/>
        <v>455</v>
      </c>
      <c r="S186" s="5">
        <v>1</v>
      </c>
      <c r="T186" s="5">
        <v>35</v>
      </c>
      <c r="U186" s="5">
        <v>13</v>
      </c>
    </row>
    <row r="187" spans="1:22" ht="14.25" customHeight="1">
      <c r="A187" s="25"/>
      <c r="B187" s="26"/>
      <c r="C187" s="26"/>
      <c r="D187" s="25"/>
      <c r="E187" s="25"/>
      <c r="F187" s="2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>
        <f t="shared" si="2"/>
        <v>228</v>
      </c>
      <c r="S187" s="5">
        <v>1</v>
      </c>
      <c r="T187" s="5">
        <v>12</v>
      </c>
      <c r="U187" s="5">
        <v>19</v>
      </c>
    </row>
    <row r="188" spans="1:22" ht="14.25" customHeight="1">
      <c r="A188" s="25"/>
      <c r="B188" s="26"/>
      <c r="C188" s="26"/>
      <c r="D188" s="25"/>
      <c r="E188" s="25"/>
      <c r="F188" s="25"/>
      <c r="G188" s="5" t="s">
        <v>28</v>
      </c>
      <c r="H188" s="5" t="s">
        <v>29</v>
      </c>
      <c r="I188" s="5">
        <v>30.227214</v>
      </c>
      <c r="J188" s="5">
        <v>76.912176000000002</v>
      </c>
      <c r="K188" s="5" t="s">
        <v>266</v>
      </c>
      <c r="L188" s="5"/>
      <c r="M188" s="5"/>
      <c r="N188" s="5"/>
      <c r="O188" s="5"/>
      <c r="P188" s="5" t="s">
        <v>261</v>
      </c>
      <c r="Q188" s="5"/>
      <c r="R188" s="5">
        <f t="shared" si="2"/>
        <v>810</v>
      </c>
      <c r="S188" s="5">
        <v>1</v>
      </c>
      <c r="T188" s="5">
        <v>45</v>
      </c>
      <c r="U188" s="5">
        <v>18</v>
      </c>
    </row>
    <row r="189" spans="1:22" ht="14.25" customHeight="1">
      <c r="A189" s="25">
        <v>39</v>
      </c>
      <c r="B189" s="26" t="s">
        <v>23</v>
      </c>
      <c r="C189" s="26" t="s">
        <v>267</v>
      </c>
      <c r="D189" s="25" t="s">
        <v>25</v>
      </c>
      <c r="E189" s="25" t="s">
        <v>241</v>
      </c>
      <c r="F189" s="25" t="s">
        <v>268</v>
      </c>
      <c r="G189" s="5" t="s">
        <v>28</v>
      </c>
      <c r="H189" s="5" t="s">
        <v>29</v>
      </c>
      <c r="I189" s="5">
        <v>30.164269999999998</v>
      </c>
      <c r="J189" s="5">
        <v>76.866482000000005</v>
      </c>
      <c r="K189" s="5" t="s">
        <v>269</v>
      </c>
      <c r="L189" s="5"/>
      <c r="M189" s="5"/>
      <c r="N189" s="5"/>
      <c r="O189" s="5"/>
      <c r="P189" s="5" t="s">
        <v>261</v>
      </c>
      <c r="Q189" s="5"/>
      <c r="R189" s="5">
        <f t="shared" si="2"/>
        <v>522</v>
      </c>
      <c r="S189" s="5">
        <v>1</v>
      </c>
      <c r="T189" s="5">
        <v>29</v>
      </c>
      <c r="U189" s="5">
        <v>18</v>
      </c>
      <c r="V189" s="28"/>
    </row>
    <row r="190" spans="1:22" ht="14.25" customHeight="1">
      <c r="A190" s="25"/>
      <c r="B190" s="26"/>
      <c r="C190" s="26"/>
      <c r="D190" s="25"/>
      <c r="E190" s="25"/>
      <c r="F190" s="25"/>
      <c r="G190" s="5" t="s">
        <v>28</v>
      </c>
      <c r="H190" s="5" t="s">
        <v>29</v>
      </c>
      <c r="I190" s="5">
        <v>30.164279000000001</v>
      </c>
      <c r="J190" s="5">
        <v>76.866512999999998</v>
      </c>
      <c r="K190" s="5" t="s">
        <v>270</v>
      </c>
      <c r="L190" s="5"/>
      <c r="M190" s="5"/>
      <c r="N190" s="5"/>
      <c r="O190" s="5"/>
      <c r="P190" s="5" t="s">
        <v>261</v>
      </c>
      <c r="Q190" s="5"/>
      <c r="R190" s="5">
        <f t="shared" si="2"/>
        <v>990</v>
      </c>
      <c r="S190" s="5">
        <v>1</v>
      </c>
      <c r="T190" s="5">
        <v>55</v>
      </c>
      <c r="U190" s="5">
        <v>18</v>
      </c>
      <c r="V190" s="28"/>
    </row>
    <row r="191" spans="1:22" ht="14.25" customHeight="1">
      <c r="A191" s="25">
        <v>40</v>
      </c>
      <c r="B191" s="26" t="s">
        <v>23</v>
      </c>
      <c r="C191" s="26" t="s">
        <v>271</v>
      </c>
      <c r="D191" s="25" t="s">
        <v>25</v>
      </c>
      <c r="E191" s="25" t="s">
        <v>272</v>
      </c>
      <c r="F191" s="25" t="s">
        <v>273</v>
      </c>
      <c r="G191" s="5" t="s">
        <v>28</v>
      </c>
      <c r="H191" s="5" t="s">
        <v>29</v>
      </c>
      <c r="I191" s="5">
        <v>30.255994999999999</v>
      </c>
      <c r="J191" s="5">
        <v>77.077153800000005</v>
      </c>
      <c r="K191" s="5" t="s">
        <v>274</v>
      </c>
      <c r="L191" s="5"/>
      <c r="M191" s="5"/>
      <c r="N191" s="5"/>
      <c r="O191" s="5"/>
      <c r="P191" s="5" t="s">
        <v>275</v>
      </c>
      <c r="Q191" s="5"/>
      <c r="R191" s="5">
        <f t="shared" si="2"/>
        <v>1098</v>
      </c>
      <c r="S191" s="5">
        <v>1</v>
      </c>
      <c r="T191" s="5">
        <v>61</v>
      </c>
      <c r="U191" s="5">
        <v>18</v>
      </c>
      <c r="V191" s="28"/>
    </row>
    <row r="192" spans="1:22" ht="14.25" customHeight="1">
      <c r="A192" s="25"/>
      <c r="B192" s="26"/>
      <c r="C192" s="26"/>
      <c r="D192" s="25"/>
      <c r="E192" s="25"/>
      <c r="F192" s="2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>
        <f t="shared" si="2"/>
        <v>70</v>
      </c>
      <c r="S192" s="5">
        <v>1</v>
      </c>
      <c r="T192" s="5">
        <v>7</v>
      </c>
      <c r="U192" s="5">
        <v>10</v>
      </c>
      <c r="V192" s="28"/>
    </row>
    <row r="193" spans="1:22" ht="14.25" customHeight="1">
      <c r="A193" s="5">
        <v>41</v>
      </c>
      <c r="B193" s="4" t="s">
        <v>23</v>
      </c>
      <c r="C193" s="4" t="s">
        <v>276</v>
      </c>
      <c r="D193" s="5" t="s">
        <v>25</v>
      </c>
      <c r="E193" s="5" t="s">
        <v>272</v>
      </c>
      <c r="F193" s="5" t="s">
        <v>277</v>
      </c>
      <c r="G193" s="5" t="s">
        <v>28</v>
      </c>
      <c r="H193" s="5" t="s">
        <v>29</v>
      </c>
      <c r="I193" s="5">
        <v>30.357858</v>
      </c>
      <c r="J193" s="5">
        <v>76.769651999999994</v>
      </c>
      <c r="K193" s="5" t="s">
        <v>278</v>
      </c>
      <c r="L193" s="5"/>
      <c r="M193" s="5"/>
      <c r="N193" s="5"/>
      <c r="O193" s="5"/>
      <c r="P193" s="5" t="s">
        <v>275</v>
      </c>
      <c r="Q193" s="5"/>
      <c r="R193" s="5">
        <f t="shared" si="2"/>
        <v>907.25</v>
      </c>
      <c r="S193" s="5">
        <v>1</v>
      </c>
      <c r="T193" s="5">
        <v>95.5</v>
      </c>
      <c r="U193" s="5">
        <v>9.5</v>
      </c>
    </row>
    <row r="194" spans="1:22" ht="14.25" customHeight="1">
      <c r="A194" s="25">
        <v>42</v>
      </c>
      <c r="B194" s="26" t="s">
        <v>23</v>
      </c>
      <c r="C194" s="26" t="s">
        <v>279</v>
      </c>
      <c r="D194" s="25" t="s">
        <v>25</v>
      </c>
      <c r="E194" s="25" t="s">
        <v>280</v>
      </c>
      <c r="F194" s="25" t="s">
        <v>281</v>
      </c>
      <c r="G194" s="5" t="s">
        <v>28</v>
      </c>
      <c r="H194" s="5" t="s">
        <v>29</v>
      </c>
      <c r="I194" s="5">
        <v>30.579084000000002</v>
      </c>
      <c r="J194" s="5">
        <v>77.015039000000002</v>
      </c>
      <c r="K194" s="5" t="s">
        <v>282</v>
      </c>
      <c r="L194" s="5" t="s">
        <v>36</v>
      </c>
      <c r="M194" s="5"/>
      <c r="N194" s="5"/>
      <c r="O194" s="5"/>
      <c r="P194" s="5" t="s">
        <v>283</v>
      </c>
      <c r="Q194" s="5"/>
      <c r="R194" s="5">
        <f t="shared" si="2"/>
        <v>193.5</v>
      </c>
      <c r="S194" s="5">
        <v>1</v>
      </c>
      <c r="T194" s="5">
        <v>21.5</v>
      </c>
      <c r="U194" s="5">
        <v>9</v>
      </c>
      <c r="V194" s="28"/>
    </row>
    <row r="195" spans="1:22" ht="14.25" customHeight="1">
      <c r="A195" s="25"/>
      <c r="B195" s="26"/>
      <c r="C195" s="26"/>
      <c r="D195" s="25"/>
      <c r="E195" s="25"/>
      <c r="F195" s="25"/>
      <c r="G195" s="5" t="s">
        <v>28</v>
      </c>
      <c r="H195" s="5" t="s">
        <v>29</v>
      </c>
      <c r="I195" s="5">
        <v>30.579487</v>
      </c>
      <c r="J195" s="5">
        <v>77.011990999999995</v>
      </c>
      <c r="K195" s="5" t="s">
        <v>284</v>
      </c>
      <c r="L195" s="5"/>
      <c r="M195" s="5"/>
      <c r="N195" s="5"/>
      <c r="O195" s="5"/>
      <c r="P195" s="5" t="s">
        <v>283</v>
      </c>
      <c r="Q195" s="5"/>
      <c r="R195" s="5">
        <f t="shared" ref="R195:R258" si="3">S195*T195*U195</f>
        <v>840</v>
      </c>
      <c r="S195" s="5">
        <v>1</v>
      </c>
      <c r="T195" s="5">
        <v>60</v>
      </c>
      <c r="U195" s="5">
        <v>14</v>
      </c>
      <c r="V195" s="28"/>
    </row>
    <row r="196" spans="1:22" ht="14.25" customHeight="1">
      <c r="A196" s="25"/>
      <c r="B196" s="26"/>
      <c r="C196" s="26"/>
      <c r="D196" s="25"/>
      <c r="E196" s="25"/>
      <c r="F196" s="2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>
        <f t="shared" si="3"/>
        <v>120</v>
      </c>
      <c r="S196" s="5">
        <v>1</v>
      </c>
      <c r="T196" s="5">
        <v>24</v>
      </c>
      <c r="U196" s="5">
        <v>5</v>
      </c>
      <c r="V196" s="28"/>
    </row>
    <row r="197" spans="1:22" ht="14.25" customHeight="1">
      <c r="A197" s="25"/>
      <c r="B197" s="26"/>
      <c r="C197" s="26"/>
      <c r="D197" s="25"/>
      <c r="E197" s="25"/>
      <c r="F197" s="25"/>
      <c r="G197" s="5" t="s">
        <v>28</v>
      </c>
      <c r="H197" s="5" t="s">
        <v>29</v>
      </c>
      <c r="I197" s="5">
        <v>30.579763</v>
      </c>
      <c r="J197" s="5">
        <v>77.010766000000004</v>
      </c>
      <c r="K197" s="5" t="s">
        <v>285</v>
      </c>
      <c r="L197" s="5"/>
      <c r="M197" s="5"/>
      <c r="N197" s="5"/>
      <c r="O197" s="5"/>
      <c r="P197" s="5" t="s">
        <v>283</v>
      </c>
      <c r="Q197" s="5"/>
      <c r="R197" s="5">
        <f t="shared" si="3"/>
        <v>880</v>
      </c>
      <c r="S197" s="5">
        <v>1</v>
      </c>
      <c r="T197" s="5">
        <v>55</v>
      </c>
      <c r="U197" s="5">
        <v>16</v>
      </c>
      <c r="V197" s="28"/>
    </row>
    <row r="198" spans="1:22" ht="14.25" customHeight="1">
      <c r="A198" s="25"/>
      <c r="B198" s="26"/>
      <c r="C198" s="26"/>
      <c r="D198" s="25"/>
      <c r="E198" s="25"/>
      <c r="F198" s="2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>
        <f t="shared" si="3"/>
        <v>9</v>
      </c>
      <c r="S198" s="5">
        <v>1</v>
      </c>
      <c r="T198" s="5">
        <v>3</v>
      </c>
      <c r="U198" s="5">
        <v>3</v>
      </c>
      <c r="V198" s="28"/>
    </row>
    <row r="199" spans="1:22" ht="14.25" customHeight="1">
      <c r="A199" s="25">
        <v>43</v>
      </c>
      <c r="B199" s="26" t="s">
        <v>23</v>
      </c>
      <c r="C199" s="26" t="s">
        <v>286</v>
      </c>
      <c r="D199" s="25" t="s">
        <v>25</v>
      </c>
      <c r="E199" s="25" t="s">
        <v>287</v>
      </c>
      <c r="F199" s="25" t="s">
        <v>288</v>
      </c>
      <c r="G199" s="5" t="s">
        <v>28</v>
      </c>
      <c r="H199" s="5" t="s">
        <v>29</v>
      </c>
      <c r="I199" s="5">
        <v>30.144259000000002</v>
      </c>
      <c r="J199" s="5">
        <v>77.302457000000004</v>
      </c>
      <c r="K199" s="5" t="s">
        <v>95</v>
      </c>
      <c r="L199" s="5" t="s">
        <v>36</v>
      </c>
      <c r="M199" s="5"/>
      <c r="N199" s="5"/>
      <c r="O199" s="5"/>
      <c r="P199" s="5" t="s">
        <v>289</v>
      </c>
      <c r="Q199" s="5"/>
      <c r="R199" s="5">
        <f t="shared" si="3"/>
        <v>1280</v>
      </c>
      <c r="S199" s="5">
        <v>1</v>
      </c>
      <c r="T199" s="5">
        <v>80</v>
      </c>
      <c r="U199" s="5">
        <v>16</v>
      </c>
      <c r="V199" s="3"/>
    </row>
    <row r="200" spans="1:22" ht="14.25" customHeight="1">
      <c r="A200" s="25"/>
      <c r="B200" s="26"/>
      <c r="C200" s="26"/>
      <c r="D200" s="25"/>
      <c r="E200" s="25"/>
      <c r="F200" s="2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>
        <f t="shared" si="3"/>
        <v>16</v>
      </c>
      <c r="S200" s="5">
        <v>1</v>
      </c>
      <c r="T200" s="5">
        <v>8</v>
      </c>
      <c r="U200" s="5">
        <v>2</v>
      </c>
      <c r="V200" s="3"/>
    </row>
    <row r="201" spans="1:22" ht="14.25" customHeight="1">
      <c r="A201" s="25"/>
      <c r="B201" s="26"/>
      <c r="C201" s="26"/>
      <c r="D201" s="25"/>
      <c r="E201" s="25"/>
      <c r="F201" s="2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>
        <f t="shared" si="3"/>
        <v>333.5</v>
      </c>
      <c r="S201" s="5">
        <v>1</v>
      </c>
      <c r="T201" s="5">
        <v>23</v>
      </c>
      <c r="U201" s="5">
        <v>14.5</v>
      </c>
      <c r="V201" s="3"/>
    </row>
    <row r="202" spans="1:22" ht="14.25" customHeight="1">
      <c r="A202" s="25"/>
      <c r="B202" s="26"/>
      <c r="C202" s="26"/>
      <c r="D202" s="25"/>
      <c r="E202" s="25"/>
      <c r="F202" s="25"/>
      <c r="G202" s="5" t="s">
        <v>28</v>
      </c>
      <c r="H202" s="5" t="s">
        <v>29</v>
      </c>
      <c r="I202" s="5">
        <v>30.154399999999999</v>
      </c>
      <c r="J202" s="5">
        <v>77.31223</v>
      </c>
      <c r="K202" s="5" t="s">
        <v>97</v>
      </c>
      <c r="L202" s="5" t="s">
        <v>36</v>
      </c>
      <c r="M202" s="5"/>
      <c r="N202" s="5"/>
      <c r="O202" s="5"/>
      <c r="P202" s="5" t="s">
        <v>290</v>
      </c>
      <c r="Q202" s="5"/>
      <c r="R202" s="5">
        <f t="shared" si="3"/>
        <v>285</v>
      </c>
      <c r="S202" s="5">
        <v>1</v>
      </c>
      <c r="T202" s="5">
        <v>30</v>
      </c>
      <c r="U202" s="5">
        <v>9.5</v>
      </c>
      <c r="V202" s="3"/>
    </row>
    <row r="203" spans="1:22" ht="14.25" customHeight="1">
      <c r="A203" s="25"/>
      <c r="B203" s="26"/>
      <c r="C203" s="26"/>
      <c r="D203" s="25"/>
      <c r="E203" s="25"/>
      <c r="F203" s="2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>
        <f t="shared" si="3"/>
        <v>16</v>
      </c>
      <c r="S203" s="5">
        <v>1</v>
      </c>
      <c r="T203" s="5">
        <v>8</v>
      </c>
      <c r="U203" s="5">
        <v>2</v>
      </c>
      <c r="V203" s="3"/>
    </row>
    <row r="204" spans="1:22" ht="14.25" customHeight="1">
      <c r="A204" s="25"/>
      <c r="B204" s="26"/>
      <c r="C204" s="26"/>
      <c r="D204" s="25"/>
      <c r="E204" s="25"/>
      <c r="F204" s="2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>
        <f t="shared" si="3"/>
        <v>99</v>
      </c>
      <c r="S204" s="5">
        <v>1</v>
      </c>
      <c r="T204" s="5">
        <v>33</v>
      </c>
      <c r="U204" s="5">
        <v>3</v>
      </c>
      <c r="V204" s="3"/>
    </row>
    <row r="205" spans="1:22" ht="14.25" customHeight="1">
      <c r="A205" s="25"/>
      <c r="B205" s="26"/>
      <c r="C205" s="26"/>
      <c r="D205" s="25"/>
      <c r="E205" s="25"/>
      <c r="F205" s="25"/>
      <c r="G205" s="5" t="s">
        <v>28</v>
      </c>
      <c r="H205" s="5" t="s">
        <v>29</v>
      </c>
      <c r="I205" s="5">
        <v>30.154356</v>
      </c>
      <c r="J205" s="5">
        <v>77.312234000000004</v>
      </c>
      <c r="K205" s="5" t="s">
        <v>291</v>
      </c>
      <c r="L205" s="5" t="s">
        <v>36</v>
      </c>
      <c r="M205" s="5"/>
      <c r="N205" s="5"/>
      <c r="O205" s="5"/>
      <c r="P205" s="5" t="s">
        <v>290</v>
      </c>
      <c r="Q205" s="5"/>
      <c r="R205" s="5">
        <f t="shared" si="3"/>
        <v>285</v>
      </c>
      <c r="S205" s="5">
        <v>1</v>
      </c>
      <c r="T205" s="5">
        <v>30</v>
      </c>
      <c r="U205" s="5">
        <v>9.5</v>
      </c>
      <c r="V205" s="3"/>
    </row>
    <row r="206" spans="1:22" ht="14.25" customHeight="1">
      <c r="A206" s="25"/>
      <c r="B206" s="26"/>
      <c r="C206" s="26"/>
      <c r="D206" s="25"/>
      <c r="E206" s="25"/>
      <c r="F206" s="2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>
        <f t="shared" si="3"/>
        <v>99</v>
      </c>
      <c r="S206" s="5">
        <v>1</v>
      </c>
      <c r="T206" s="5">
        <v>33</v>
      </c>
      <c r="U206" s="5">
        <v>3</v>
      </c>
      <c r="V206" s="3"/>
    </row>
    <row r="207" spans="1:22" ht="14.25" customHeight="1">
      <c r="A207" s="25"/>
      <c r="B207" s="26"/>
      <c r="C207" s="26"/>
      <c r="D207" s="25"/>
      <c r="E207" s="25"/>
      <c r="F207" s="25"/>
      <c r="G207" s="5" t="s">
        <v>28</v>
      </c>
      <c r="H207" s="5" t="s">
        <v>29</v>
      </c>
      <c r="I207" s="5">
        <v>30.154589999999999</v>
      </c>
      <c r="J207" s="5">
        <v>77.312522000000001</v>
      </c>
      <c r="K207" s="5" t="s">
        <v>292</v>
      </c>
      <c r="L207" s="5"/>
      <c r="M207" s="5"/>
      <c r="N207" s="5"/>
      <c r="O207" s="5"/>
      <c r="P207" s="5" t="s">
        <v>290</v>
      </c>
      <c r="Q207" s="5"/>
      <c r="R207" s="5">
        <f t="shared" si="3"/>
        <v>207</v>
      </c>
      <c r="S207" s="5">
        <v>1</v>
      </c>
      <c r="T207" s="5">
        <v>18</v>
      </c>
      <c r="U207" s="5">
        <v>11.5</v>
      </c>
      <c r="V207" s="3"/>
    </row>
    <row r="208" spans="1:22" ht="14.25" customHeight="1">
      <c r="A208" s="25"/>
      <c r="B208" s="26"/>
      <c r="C208" s="26"/>
      <c r="D208" s="25"/>
      <c r="E208" s="25"/>
      <c r="F208" s="25"/>
      <c r="G208" s="5" t="s">
        <v>28</v>
      </c>
      <c r="H208" s="5" t="s">
        <v>29</v>
      </c>
      <c r="I208" s="5">
        <v>30.144134000000001</v>
      </c>
      <c r="J208" s="5">
        <v>77.291539</v>
      </c>
      <c r="K208" s="5" t="s">
        <v>293</v>
      </c>
      <c r="L208" s="5"/>
      <c r="M208" s="5"/>
      <c r="N208" s="5"/>
      <c r="O208" s="5"/>
      <c r="P208" s="5" t="s">
        <v>294</v>
      </c>
      <c r="Q208" s="5"/>
      <c r="R208" s="5">
        <f t="shared" si="3"/>
        <v>234</v>
      </c>
      <c r="S208" s="5">
        <v>1</v>
      </c>
      <c r="T208" s="5">
        <v>18</v>
      </c>
      <c r="U208" s="5">
        <v>13</v>
      </c>
      <c r="V208" s="3"/>
    </row>
    <row r="209" spans="1:22" ht="14.25" customHeight="1">
      <c r="A209" s="25"/>
      <c r="B209" s="26"/>
      <c r="C209" s="26"/>
      <c r="D209" s="25"/>
      <c r="E209" s="25"/>
      <c r="F209" s="25"/>
      <c r="G209" s="5" t="s">
        <v>28</v>
      </c>
      <c r="H209" s="5" t="s">
        <v>29</v>
      </c>
      <c r="I209" s="5">
        <v>30.144183000000002</v>
      </c>
      <c r="J209" s="5">
        <v>77.291454000000002</v>
      </c>
      <c r="K209" s="5" t="s">
        <v>295</v>
      </c>
      <c r="L209" s="5"/>
      <c r="M209" s="5"/>
      <c r="N209" s="5"/>
      <c r="O209" s="5"/>
      <c r="P209" s="5" t="s">
        <v>294</v>
      </c>
      <c r="Q209" s="5"/>
      <c r="R209" s="5">
        <f t="shared" si="3"/>
        <v>266.5</v>
      </c>
      <c r="S209" s="5">
        <v>1</v>
      </c>
      <c r="T209" s="5">
        <v>41</v>
      </c>
      <c r="U209" s="5">
        <v>6.5</v>
      </c>
      <c r="V209" s="3"/>
    </row>
    <row r="210" spans="1:22" ht="14.25" customHeight="1">
      <c r="A210" s="25"/>
      <c r="B210" s="26"/>
      <c r="C210" s="26"/>
      <c r="D210" s="25"/>
      <c r="E210" s="25"/>
      <c r="F210" s="25"/>
      <c r="G210" s="5" t="s">
        <v>28</v>
      </c>
      <c r="H210" s="5" t="s">
        <v>29</v>
      </c>
      <c r="I210" s="5">
        <v>30.139859999999999</v>
      </c>
      <c r="J210" s="5">
        <v>77.299231000000006</v>
      </c>
      <c r="K210" s="5" t="s">
        <v>296</v>
      </c>
      <c r="L210" s="5"/>
      <c r="M210" s="5"/>
      <c r="N210" s="5"/>
      <c r="O210" s="5"/>
      <c r="P210" s="5" t="s">
        <v>294</v>
      </c>
      <c r="Q210" s="5"/>
      <c r="R210" s="5">
        <f t="shared" si="3"/>
        <v>247.5</v>
      </c>
      <c r="S210" s="5">
        <v>1</v>
      </c>
      <c r="T210" s="5">
        <v>22.5</v>
      </c>
      <c r="U210" s="5">
        <v>11</v>
      </c>
      <c r="V210" s="3"/>
    </row>
    <row r="211" spans="1:22" ht="14.25" customHeight="1">
      <c r="A211" s="25"/>
      <c r="B211" s="26"/>
      <c r="C211" s="26"/>
      <c r="D211" s="25"/>
      <c r="E211" s="25"/>
      <c r="F211" s="25"/>
      <c r="G211" s="5" t="s">
        <v>28</v>
      </c>
      <c r="H211" s="5" t="s">
        <v>29</v>
      </c>
      <c r="I211" s="5">
        <v>30.147455999999998</v>
      </c>
      <c r="J211" s="5">
        <v>77.311346</v>
      </c>
      <c r="K211" s="5" t="s">
        <v>297</v>
      </c>
      <c r="L211" s="5" t="s">
        <v>36</v>
      </c>
      <c r="M211" s="5"/>
      <c r="N211" s="5"/>
      <c r="O211" s="5"/>
      <c r="P211" s="5" t="s">
        <v>294</v>
      </c>
      <c r="Q211" s="5"/>
      <c r="R211" s="5">
        <f t="shared" si="3"/>
        <v>442</v>
      </c>
      <c r="S211" s="5">
        <v>1</v>
      </c>
      <c r="T211" s="5">
        <v>34</v>
      </c>
      <c r="U211" s="5">
        <v>13</v>
      </c>
      <c r="V211" s="3"/>
    </row>
    <row r="212" spans="1:22" ht="14.25" customHeight="1">
      <c r="A212" s="25"/>
      <c r="B212" s="26"/>
      <c r="C212" s="26"/>
      <c r="D212" s="25"/>
      <c r="E212" s="25"/>
      <c r="F212" s="2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>
        <f t="shared" si="3"/>
        <v>11</v>
      </c>
      <c r="S212" s="5">
        <v>1</v>
      </c>
      <c r="T212" s="5">
        <v>5.5</v>
      </c>
      <c r="U212" s="5">
        <v>2</v>
      </c>
      <c r="V212" s="3"/>
    </row>
    <row r="213" spans="1:22" ht="14.25" customHeight="1">
      <c r="A213" s="25"/>
      <c r="B213" s="26"/>
      <c r="C213" s="26"/>
      <c r="D213" s="25"/>
      <c r="E213" s="25"/>
      <c r="F213" s="2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>
        <f t="shared" si="3"/>
        <v>50</v>
      </c>
      <c r="S213" s="5">
        <v>2</v>
      </c>
      <c r="T213" s="5">
        <v>12.5</v>
      </c>
      <c r="U213" s="5">
        <v>2</v>
      </c>
      <c r="V213" s="3"/>
    </row>
    <row r="214" spans="1:22" ht="14.25" customHeight="1">
      <c r="A214" s="25"/>
      <c r="B214" s="26"/>
      <c r="C214" s="26"/>
      <c r="D214" s="25"/>
      <c r="E214" s="25"/>
      <c r="F214" s="25"/>
      <c r="G214" s="5" t="s">
        <v>28</v>
      </c>
      <c r="H214" s="5" t="s">
        <v>29</v>
      </c>
      <c r="I214" s="5">
        <v>30.140236999999999</v>
      </c>
      <c r="J214" s="5">
        <v>77.298953999999995</v>
      </c>
      <c r="K214" s="5" t="s">
        <v>298</v>
      </c>
      <c r="L214" s="5"/>
      <c r="M214" s="5"/>
      <c r="N214" s="5"/>
      <c r="O214" s="5"/>
      <c r="P214" s="5" t="s">
        <v>299</v>
      </c>
      <c r="Q214" s="5"/>
      <c r="R214" s="5">
        <f t="shared" si="3"/>
        <v>580</v>
      </c>
      <c r="S214" s="5">
        <v>1</v>
      </c>
      <c r="T214" s="5">
        <v>40</v>
      </c>
      <c r="U214" s="5">
        <v>14.5</v>
      </c>
      <c r="V214" s="3"/>
    </row>
    <row r="215" spans="1:22" ht="14.25" customHeight="1">
      <c r="A215" s="25"/>
      <c r="B215" s="26"/>
      <c r="C215" s="26"/>
      <c r="D215" s="25"/>
      <c r="E215" s="25"/>
      <c r="F215" s="25"/>
      <c r="G215" s="5" t="s">
        <v>28</v>
      </c>
      <c r="H215" s="5" t="s">
        <v>29</v>
      </c>
      <c r="I215" s="5">
        <v>30.140160999999999</v>
      </c>
      <c r="J215" s="5">
        <v>77.298997999999997</v>
      </c>
      <c r="K215" s="5" t="s">
        <v>300</v>
      </c>
      <c r="L215" s="5"/>
      <c r="M215" s="5"/>
      <c r="N215" s="5"/>
      <c r="O215" s="5"/>
      <c r="P215" s="5" t="s">
        <v>299</v>
      </c>
      <c r="Q215" s="5"/>
      <c r="R215" s="5">
        <f t="shared" si="3"/>
        <v>225</v>
      </c>
      <c r="S215" s="5">
        <v>1</v>
      </c>
      <c r="T215" s="5">
        <v>30</v>
      </c>
      <c r="U215" s="5">
        <v>7.5</v>
      </c>
      <c r="V215" s="3"/>
    </row>
    <row r="216" spans="1:22" ht="14.25" customHeight="1">
      <c r="A216" s="25"/>
      <c r="B216" s="26"/>
      <c r="C216" s="26"/>
      <c r="D216" s="25"/>
      <c r="E216" s="25"/>
      <c r="F216" s="25"/>
      <c r="G216" s="5" t="s">
        <v>28</v>
      </c>
      <c r="H216" s="5" t="s">
        <v>29</v>
      </c>
      <c r="I216" s="5">
        <v>30.140149999999998</v>
      </c>
      <c r="J216" s="5">
        <v>77.298945000000003</v>
      </c>
      <c r="K216" s="5" t="s">
        <v>301</v>
      </c>
      <c r="L216" s="5" t="s">
        <v>36</v>
      </c>
      <c r="M216" s="5"/>
      <c r="N216" s="5"/>
      <c r="O216" s="5"/>
      <c r="P216" s="5" t="s">
        <v>299</v>
      </c>
      <c r="Q216" s="5"/>
      <c r="R216" s="5">
        <f t="shared" si="3"/>
        <v>481.25</v>
      </c>
      <c r="S216" s="5">
        <v>1</v>
      </c>
      <c r="T216" s="5">
        <v>38.5</v>
      </c>
      <c r="U216" s="5">
        <v>12.5</v>
      </c>
      <c r="V216" s="3"/>
    </row>
    <row r="217" spans="1:22" ht="14.25" customHeight="1">
      <c r="A217" s="25"/>
      <c r="B217" s="26"/>
      <c r="C217" s="26"/>
      <c r="D217" s="25"/>
      <c r="E217" s="25"/>
      <c r="F217" s="2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>
        <f t="shared" si="3"/>
        <v>8</v>
      </c>
      <c r="S217" s="5">
        <v>1</v>
      </c>
      <c r="T217" s="5">
        <v>4</v>
      </c>
      <c r="U217" s="5">
        <v>2</v>
      </c>
      <c r="V217" s="3"/>
    </row>
    <row r="218" spans="1:22" ht="14.25" customHeight="1">
      <c r="A218" s="25"/>
      <c r="B218" s="26"/>
      <c r="C218" s="26"/>
      <c r="D218" s="25"/>
      <c r="E218" s="25"/>
      <c r="F218" s="2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>
        <f t="shared" si="3"/>
        <v>20</v>
      </c>
      <c r="S218" s="5">
        <v>1</v>
      </c>
      <c r="T218" s="5">
        <v>10</v>
      </c>
      <c r="U218" s="5">
        <v>2</v>
      </c>
      <c r="V218" s="3"/>
    </row>
    <row r="219" spans="1:22" ht="14.25" customHeight="1">
      <c r="A219" s="25"/>
      <c r="B219" s="26"/>
      <c r="C219" s="26"/>
      <c r="D219" s="25"/>
      <c r="E219" s="25"/>
      <c r="F219" s="2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>
        <f t="shared" si="3"/>
        <v>25</v>
      </c>
      <c r="S219" s="5">
        <v>1</v>
      </c>
      <c r="T219" s="5">
        <v>12.5</v>
      </c>
      <c r="U219" s="5">
        <v>2</v>
      </c>
      <c r="V219" s="3"/>
    </row>
    <row r="220" spans="1:22" ht="14.25" customHeight="1">
      <c r="A220" s="25">
        <v>44</v>
      </c>
      <c r="B220" s="26" t="s">
        <v>23</v>
      </c>
      <c r="C220" s="26" t="s">
        <v>302</v>
      </c>
      <c r="D220" s="25" t="s">
        <v>25</v>
      </c>
      <c r="E220" s="25" t="s">
        <v>272</v>
      </c>
      <c r="F220" s="25" t="s">
        <v>303</v>
      </c>
      <c r="G220" s="5" t="s">
        <v>28</v>
      </c>
      <c r="H220" s="5" t="s">
        <v>29</v>
      </c>
      <c r="I220" s="5">
        <v>30.256195000000002</v>
      </c>
      <c r="J220" s="5">
        <v>77.072069999999997</v>
      </c>
      <c r="K220" s="5" t="s">
        <v>100</v>
      </c>
      <c r="L220" s="5"/>
      <c r="M220" s="5"/>
      <c r="N220" s="5"/>
      <c r="O220" s="5"/>
      <c r="P220" s="5" t="s">
        <v>304</v>
      </c>
      <c r="Q220" s="5"/>
      <c r="R220" s="5">
        <f t="shared" si="3"/>
        <v>961</v>
      </c>
      <c r="S220" s="5">
        <v>1</v>
      </c>
      <c r="T220" s="5">
        <v>62</v>
      </c>
      <c r="U220" s="5">
        <v>15.5</v>
      </c>
      <c r="V220" s="3"/>
    </row>
    <row r="221" spans="1:22" ht="14.25" customHeight="1">
      <c r="A221" s="25"/>
      <c r="B221" s="26"/>
      <c r="C221" s="26"/>
      <c r="D221" s="25"/>
      <c r="E221" s="25"/>
      <c r="F221" s="2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>
        <f t="shared" si="3"/>
        <v>261</v>
      </c>
      <c r="S221" s="5">
        <v>1</v>
      </c>
      <c r="T221" s="5">
        <v>18</v>
      </c>
      <c r="U221" s="5">
        <v>14.5</v>
      </c>
      <c r="V221" s="3"/>
    </row>
    <row r="222" spans="1:22" ht="14.25" customHeight="1">
      <c r="A222" s="25"/>
      <c r="B222" s="26"/>
      <c r="C222" s="26"/>
      <c r="D222" s="25"/>
      <c r="E222" s="25"/>
      <c r="F222" s="25"/>
      <c r="G222" s="5" t="s">
        <v>28</v>
      </c>
      <c r="H222" s="5" t="s">
        <v>29</v>
      </c>
      <c r="I222" s="5">
        <v>30.256239999999998</v>
      </c>
      <c r="J222" s="5">
        <v>77.072076999999993</v>
      </c>
      <c r="K222" s="5" t="s">
        <v>102</v>
      </c>
      <c r="L222" s="5"/>
      <c r="M222" s="5"/>
      <c r="N222" s="5"/>
      <c r="O222" s="5"/>
      <c r="P222" s="5" t="s">
        <v>304</v>
      </c>
      <c r="Q222" s="5"/>
      <c r="R222" s="5">
        <f t="shared" si="3"/>
        <v>199.5</v>
      </c>
      <c r="S222" s="5">
        <v>1</v>
      </c>
      <c r="T222" s="5">
        <v>57</v>
      </c>
      <c r="U222" s="5">
        <v>3.5</v>
      </c>
      <c r="V222" s="3"/>
    </row>
    <row r="223" spans="1:22" ht="14.25" customHeight="1">
      <c r="A223" s="25"/>
      <c r="B223" s="26"/>
      <c r="C223" s="26"/>
      <c r="D223" s="25"/>
      <c r="E223" s="25"/>
      <c r="F223" s="25"/>
      <c r="G223" s="5" t="s">
        <v>28</v>
      </c>
      <c r="H223" s="5" t="s">
        <v>29</v>
      </c>
      <c r="I223" s="5">
        <v>30.256239999999998</v>
      </c>
      <c r="J223" s="5">
        <v>77.072076999999993</v>
      </c>
      <c r="K223" s="5" t="s">
        <v>305</v>
      </c>
      <c r="L223" s="5"/>
      <c r="M223" s="5"/>
      <c r="N223" s="5"/>
      <c r="O223" s="5"/>
      <c r="P223" s="5" t="s">
        <v>304</v>
      </c>
      <c r="Q223" s="5"/>
      <c r="R223" s="5">
        <f t="shared" si="3"/>
        <v>173.25</v>
      </c>
      <c r="S223" s="5">
        <v>1</v>
      </c>
      <c r="T223" s="5">
        <v>16.5</v>
      </c>
      <c r="U223" s="5">
        <v>10.5</v>
      </c>
      <c r="V223" s="3"/>
    </row>
    <row r="224" spans="1:22" ht="14.25" customHeight="1">
      <c r="A224" s="25"/>
      <c r="B224" s="26"/>
      <c r="C224" s="26"/>
      <c r="D224" s="25"/>
      <c r="E224" s="25"/>
      <c r="F224" s="2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>
        <f t="shared" si="3"/>
        <v>9</v>
      </c>
      <c r="S224" s="5">
        <v>1</v>
      </c>
      <c r="T224" s="5">
        <v>3</v>
      </c>
      <c r="U224" s="5">
        <v>3</v>
      </c>
      <c r="V224" s="3"/>
    </row>
    <row r="225" spans="1:22" ht="14.25" customHeight="1">
      <c r="A225" s="25"/>
      <c r="B225" s="26"/>
      <c r="C225" s="26"/>
      <c r="D225" s="25"/>
      <c r="E225" s="25"/>
      <c r="F225" s="25"/>
      <c r="G225" s="5" t="s">
        <v>28</v>
      </c>
      <c r="H225" s="5" t="s">
        <v>29</v>
      </c>
      <c r="I225" s="5">
        <v>30.256239999999998</v>
      </c>
      <c r="J225" s="5">
        <v>77.072076999999993</v>
      </c>
      <c r="K225" s="5" t="s">
        <v>306</v>
      </c>
      <c r="L225" s="5"/>
      <c r="M225" s="5"/>
      <c r="N225" s="5"/>
      <c r="O225" s="5"/>
      <c r="P225" s="5" t="s">
        <v>304</v>
      </c>
      <c r="Q225" s="5"/>
      <c r="R225" s="5">
        <f t="shared" si="3"/>
        <v>230</v>
      </c>
      <c r="S225" s="5">
        <v>1</v>
      </c>
      <c r="T225" s="5">
        <v>20</v>
      </c>
      <c r="U225" s="5">
        <v>11.5</v>
      </c>
      <c r="V225" s="3"/>
    </row>
    <row r="226" spans="1:22" ht="14.25" customHeight="1">
      <c r="A226" s="25">
        <v>45</v>
      </c>
      <c r="B226" s="26" t="s">
        <v>23</v>
      </c>
      <c r="C226" s="26" t="s">
        <v>307</v>
      </c>
      <c r="D226" s="25" t="s">
        <v>25</v>
      </c>
      <c r="E226" s="25" t="s">
        <v>308</v>
      </c>
      <c r="F226" s="25" t="s">
        <v>309</v>
      </c>
      <c r="G226" s="5" t="s">
        <v>28</v>
      </c>
      <c r="H226" s="5" t="s">
        <v>29</v>
      </c>
      <c r="I226" s="5">
        <v>29.504090999999999</v>
      </c>
      <c r="J226" s="5">
        <v>75.463963000000007</v>
      </c>
      <c r="K226" s="5" t="s">
        <v>106</v>
      </c>
      <c r="L226" s="5"/>
      <c r="M226" s="5"/>
      <c r="N226" s="5"/>
      <c r="O226" s="5"/>
      <c r="P226" s="5" t="s">
        <v>310</v>
      </c>
      <c r="Q226" s="5"/>
      <c r="R226" s="5">
        <f t="shared" si="3"/>
        <v>525</v>
      </c>
      <c r="S226" s="5">
        <v>1</v>
      </c>
      <c r="T226" s="5">
        <v>70</v>
      </c>
      <c r="U226" s="5">
        <v>7.5</v>
      </c>
      <c r="V226" s="3"/>
    </row>
    <row r="227" spans="1:22" ht="14.25" customHeight="1">
      <c r="A227" s="25"/>
      <c r="B227" s="26"/>
      <c r="C227" s="26"/>
      <c r="D227" s="25"/>
      <c r="E227" s="25"/>
      <c r="F227" s="25"/>
      <c r="G227" s="5" t="s">
        <v>28</v>
      </c>
      <c r="H227" s="5" t="s">
        <v>29</v>
      </c>
      <c r="I227" s="5">
        <v>29.502952000000001</v>
      </c>
      <c r="J227" s="5">
        <v>75.464414000000005</v>
      </c>
      <c r="K227" s="5" t="s">
        <v>109</v>
      </c>
      <c r="L227" s="5"/>
      <c r="M227" s="5"/>
      <c r="N227" s="5"/>
      <c r="O227" s="5"/>
      <c r="P227" s="5" t="s">
        <v>310</v>
      </c>
      <c r="Q227" s="5"/>
      <c r="R227" s="5">
        <f t="shared" si="3"/>
        <v>364</v>
      </c>
      <c r="S227" s="5">
        <v>1</v>
      </c>
      <c r="T227" s="5">
        <v>26</v>
      </c>
      <c r="U227" s="5">
        <v>14</v>
      </c>
      <c r="V227" s="3"/>
    </row>
    <row r="228" spans="1:22" ht="14.25" customHeight="1">
      <c r="A228" s="25"/>
      <c r="B228" s="26"/>
      <c r="C228" s="26"/>
      <c r="D228" s="25"/>
      <c r="E228" s="25"/>
      <c r="F228" s="2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>
        <f t="shared" si="3"/>
        <v>32</v>
      </c>
      <c r="S228" s="5">
        <v>1</v>
      </c>
      <c r="T228" s="5">
        <v>4</v>
      </c>
      <c r="U228" s="5">
        <v>8</v>
      </c>
      <c r="V228" s="3"/>
    </row>
    <row r="229" spans="1:22" ht="14.25" customHeight="1">
      <c r="A229" s="25"/>
      <c r="B229" s="26"/>
      <c r="C229" s="26"/>
      <c r="D229" s="25"/>
      <c r="E229" s="25"/>
      <c r="F229" s="25"/>
      <c r="G229" s="5" t="s">
        <v>28</v>
      </c>
      <c r="H229" s="5" t="s">
        <v>29</v>
      </c>
      <c r="I229" s="5">
        <v>29.503043000000002</v>
      </c>
      <c r="J229" s="5">
        <v>75.464434999999995</v>
      </c>
      <c r="K229" s="5" t="s">
        <v>110</v>
      </c>
      <c r="L229" s="5" t="s">
        <v>36</v>
      </c>
      <c r="M229" s="5"/>
      <c r="N229" s="5"/>
      <c r="O229" s="5"/>
      <c r="P229" s="5" t="s">
        <v>310</v>
      </c>
      <c r="Q229" s="5"/>
      <c r="R229" s="5">
        <f t="shared" si="3"/>
        <v>946</v>
      </c>
      <c r="S229" s="5">
        <v>1</v>
      </c>
      <c r="T229" s="5">
        <v>86</v>
      </c>
      <c r="U229" s="5">
        <v>11</v>
      </c>
      <c r="V229" s="3"/>
    </row>
    <row r="230" spans="1:22" ht="14.25" customHeight="1">
      <c r="A230" s="25"/>
      <c r="B230" s="26"/>
      <c r="C230" s="26"/>
      <c r="D230" s="25"/>
      <c r="E230" s="25"/>
      <c r="F230" s="2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>
        <f t="shared" si="3"/>
        <v>301</v>
      </c>
      <c r="S230" s="5">
        <v>1</v>
      </c>
      <c r="T230" s="5">
        <v>86</v>
      </c>
      <c r="U230" s="5">
        <v>3.5</v>
      </c>
      <c r="V230" s="3"/>
    </row>
    <row r="231" spans="1:22" ht="14.25" customHeight="1">
      <c r="A231" s="25"/>
      <c r="B231" s="26"/>
      <c r="C231" s="26"/>
      <c r="D231" s="25"/>
      <c r="E231" s="25"/>
      <c r="F231" s="2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>
        <f t="shared" si="3"/>
        <v>42</v>
      </c>
      <c r="S231" s="5">
        <v>3</v>
      </c>
      <c r="T231" s="5">
        <v>7</v>
      </c>
      <c r="U231" s="5">
        <v>2</v>
      </c>
      <c r="V231" s="3"/>
    </row>
    <row r="232" spans="1:22" ht="14.25" customHeight="1">
      <c r="A232" s="25"/>
      <c r="B232" s="26"/>
      <c r="C232" s="26"/>
      <c r="D232" s="25"/>
      <c r="E232" s="25"/>
      <c r="F232" s="2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>
        <f t="shared" si="3"/>
        <v>126.5</v>
      </c>
      <c r="S232" s="5">
        <v>1</v>
      </c>
      <c r="T232" s="5">
        <v>11.5</v>
      </c>
      <c r="U232" s="5">
        <v>11</v>
      </c>
      <c r="V232" s="3"/>
    </row>
    <row r="233" spans="1:22" ht="14.25" customHeight="1">
      <c r="A233" s="25"/>
      <c r="B233" s="26"/>
      <c r="C233" s="26"/>
      <c r="D233" s="25"/>
      <c r="E233" s="25"/>
      <c r="F233" s="25"/>
      <c r="G233" s="5" t="s">
        <v>28</v>
      </c>
      <c r="H233" s="5" t="s">
        <v>29</v>
      </c>
      <c r="I233" s="5">
        <v>29.503025000000001</v>
      </c>
      <c r="J233" s="5">
        <v>75.464031000000006</v>
      </c>
      <c r="K233" s="5" t="s">
        <v>311</v>
      </c>
      <c r="L233" s="5"/>
      <c r="M233" s="5"/>
      <c r="N233" s="5"/>
      <c r="O233" s="5"/>
      <c r="P233" s="5" t="s">
        <v>312</v>
      </c>
      <c r="Q233" s="5"/>
      <c r="R233" s="5">
        <f t="shared" si="3"/>
        <v>72</v>
      </c>
      <c r="S233" s="5">
        <v>2</v>
      </c>
      <c r="T233" s="5">
        <v>4.5</v>
      </c>
      <c r="U233" s="5">
        <v>8</v>
      </c>
      <c r="V233" s="3"/>
    </row>
    <row r="234" spans="1:22" ht="14.25" customHeight="1">
      <c r="A234" s="25"/>
      <c r="B234" s="26"/>
      <c r="C234" s="26"/>
      <c r="D234" s="25"/>
      <c r="E234" s="25"/>
      <c r="F234" s="2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>
        <f t="shared" si="3"/>
        <v>120</v>
      </c>
      <c r="S234" s="5">
        <v>1</v>
      </c>
      <c r="T234" s="5">
        <v>20</v>
      </c>
      <c r="U234" s="5">
        <v>6</v>
      </c>
      <c r="V234" s="3"/>
    </row>
    <row r="235" spans="1:22" ht="14.25" customHeight="1">
      <c r="A235" s="25"/>
      <c r="B235" s="26"/>
      <c r="C235" s="26"/>
      <c r="D235" s="25"/>
      <c r="E235" s="25"/>
      <c r="F235" s="2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>
        <f t="shared" si="3"/>
        <v>84</v>
      </c>
      <c r="S235" s="5">
        <v>1</v>
      </c>
      <c r="T235" s="5">
        <v>7</v>
      </c>
      <c r="U235" s="5">
        <v>12</v>
      </c>
      <c r="V235" s="3"/>
    </row>
    <row r="236" spans="1:22" ht="14.25" customHeight="1">
      <c r="A236" s="25"/>
      <c r="B236" s="26"/>
      <c r="C236" s="26"/>
      <c r="D236" s="25"/>
      <c r="E236" s="25"/>
      <c r="F236" s="2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>
        <f t="shared" si="3"/>
        <v>36</v>
      </c>
      <c r="S236" s="5">
        <v>1</v>
      </c>
      <c r="T236" s="5">
        <v>8</v>
      </c>
      <c r="U236" s="5">
        <v>4.5</v>
      </c>
      <c r="V236" s="3"/>
    </row>
    <row r="237" spans="1:22" ht="14.25" customHeight="1">
      <c r="A237" s="25"/>
      <c r="B237" s="26"/>
      <c r="C237" s="26"/>
      <c r="D237" s="25"/>
      <c r="E237" s="25"/>
      <c r="F237" s="2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>
        <f t="shared" si="3"/>
        <v>54</v>
      </c>
      <c r="S237" s="5">
        <v>1</v>
      </c>
      <c r="T237" s="5">
        <v>4</v>
      </c>
      <c r="U237" s="5">
        <v>13.5</v>
      </c>
      <c r="V237" s="3"/>
    </row>
    <row r="238" spans="1:22" ht="14.25" customHeight="1">
      <c r="A238" s="25"/>
      <c r="B238" s="26"/>
      <c r="C238" s="26"/>
      <c r="D238" s="25"/>
      <c r="E238" s="25"/>
      <c r="F238" s="2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>
        <f t="shared" si="3"/>
        <v>80</v>
      </c>
      <c r="S238" s="5">
        <v>1</v>
      </c>
      <c r="T238" s="5">
        <v>8</v>
      </c>
      <c r="U238" s="5">
        <v>10</v>
      </c>
      <c r="V238" s="3"/>
    </row>
    <row r="239" spans="1:22" ht="14.25" customHeight="1">
      <c r="A239" s="25"/>
      <c r="B239" s="26"/>
      <c r="C239" s="26"/>
      <c r="D239" s="25"/>
      <c r="E239" s="25"/>
      <c r="F239" s="25"/>
      <c r="G239" s="5" t="s">
        <v>28</v>
      </c>
      <c r="H239" s="5" t="s">
        <v>29</v>
      </c>
      <c r="I239" s="5">
        <v>29.503042000000001</v>
      </c>
      <c r="J239" s="5">
        <v>75.464179999999999</v>
      </c>
      <c r="K239" s="5" t="s">
        <v>313</v>
      </c>
      <c r="L239" s="5"/>
      <c r="M239" s="5"/>
      <c r="N239" s="5"/>
      <c r="O239" s="5"/>
      <c r="P239" s="5" t="s">
        <v>310</v>
      </c>
      <c r="Q239" s="5"/>
      <c r="R239" s="5">
        <f t="shared" si="3"/>
        <v>202.5</v>
      </c>
      <c r="S239" s="5">
        <v>1</v>
      </c>
      <c r="T239" s="5">
        <v>15</v>
      </c>
      <c r="U239" s="5">
        <v>13.5</v>
      </c>
      <c r="V239" s="3"/>
    </row>
    <row r="240" spans="1:22" ht="14.25" customHeight="1">
      <c r="A240" s="25">
        <v>46</v>
      </c>
      <c r="B240" s="26" t="s">
        <v>23</v>
      </c>
      <c r="C240" s="26" t="s">
        <v>314</v>
      </c>
      <c r="D240" s="25" t="s">
        <v>25</v>
      </c>
      <c r="E240" s="31" t="s">
        <v>85</v>
      </c>
      <c r="F240" s="25" t="s">
        <v>315</v>
      </c>
      <c r="G240" s="5" t="s">
        <v>28</v>
      </c>
      <c r="H240" s="5" t="s">
        <v>29</v>
      </c>
      <c r="I240" s="5">
        <v>29.324217999999998</v>
      </c>
      <c r="J240" s="5">
        <v>76.299234999999996</v>
      </c>
      <c r="K240" s="5" t="s">
        <v>316</v>
      </c>
      <c r="L240" s="5" t="s">
        <v>36</v>
      </c>
      <c r="M240" s="5"/>
      <c r="N240" s="5"/>
      <c r="O240" s="5"/>
      <c r="P240" s="5" t="s">
        <v>317</v>
      </c>
      <c r="Q240" s="5"/>
      <c r="R240" s="5">
        <f t="shared" si="3"/>
        <v>675</v>
      </c>
      <c r="S240" s="5">
        <v>1</v>
      </c>
      <c r="T240" s="5">
        <v>50</v>
      </c>
      <c r="U240" s="5">
        <v>13.5</v>
      </c>
      <c r="V240" s="3"/>
    </row>
    <row r="241" spans="1:22" ht="14.25" customHeight="1">
      <c r="A241" s="25"/>
      <c r="B241" s="26"/>
      <c r="C241" s="26"/>
      <c r="D241" s="25"/>
      <c r="E241" s="31"/>
      <c r="F241" s="2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>
        <f t="shared" si="3"/>
        <v>22</v>
      </c>
      <c r="S241" s="5">
        <v>1</v>
      </c>
      <c r="T241" s="5">
        <v>11</v>
      </c>
      <c r="U241" s="5">
        <v>2</v>
      </c>
      <c r="V241" s="3"/>
    </row>
    <row r="242" spans="1:22" ht="14.25" customHeight="1">
      <c r="A242" s="25"/>
      <c r="B242" s="26"/>
      <c r="C242" s="26"/>
      <c r="D242" s="25"/>
      <c r="E242" s="31"/>
      <c r="F242" s="2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>
        <f t="shared" si="3"/>
        <v>18</v>
      </c>
      <c r="S242" s="5">
        <v>1</v>
      </c>
      <c r="T242" s="5">
        <v>9</v>
      </c>
      <c r="U242" s="5">
        <v>2</v>
      </c>
      <c r="V242" s="3"/>
    </row>
    <row r="243" spans="1:22" ht="14.25" customHeight="1">
      <c r="A243" s="25"/>
      <c r="B243" s="26"/>
      <c r="C243" s="26"/>
      <c r="D243" s="25"/>
      <c r="E243" s="31"/>
      <c r="F243" s="2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>
        <f t="shared" si="3"/>
        <v>374</v>
      </c>
      <c r="S243" s="5">
        <v>1</v>
      </c>
      <c r="T243" s="5">
        <v>34</v>
      </c>
      <c r="U243" s="5">
        <v>11</v>
      </c>
      <c r="V243" s="3"/>
    </row>
    <row r="244" spans="1:22" ht="14.25" customHeight="1">
      <c r="A244" s="25"/>
      <c r="B244" s="26"/>
      <c r="C244" s="26"/>
      <c r="D244" s="25"/>
      <c r="E244" s="31"/>
      <c r="F244" s="2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>
        <f t="shared" si="3"/>
        <v>40</v>
      </c>
      <c r="S244" s="5">
        <v>1</v>
      </c>
      <c r="T244" s="5">
        <v>20</v>
      </c>
      <c r="U244" s="5">
        <v>2</v>
      </c>
      <c r="V244" s="3"/>
    </row>
    <row r="245" spans="1:22" ht="14.25" customHeight="1">
      <c r="A245" s="25"/>
      <c r="B245" s="26"/>
      <c r="C245" s="26"/>
      <c r="D245" s="25"/>
      <c r="E245" s="31"/>
      <c r="F245" s="2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>
        <f t="shared" si="3"/>
        <v>22.75</v>
      </c>
      <c r="S245" s="5">
        <v>1</v>
      </c>
      <c r="T245" s="5">
        <v>3.5</v>
      </c>
      <c r="U245" s="5">
        <v>6.5</v>
      </c>
      <c r="V245" s="3"/>
    </row>
    <row r="246" spans="1:22" ht="14.25" customHeight="1">
      <c r="A246" s="25"/>
      <c r="B246" s="26"/>
      <c r="C246" s="26"/>
      <c r="D246" s="25"/>
      <c r="E246" s="31"/>
      <c r="F246" s="25"/>
      <c r="G246" s="5" t="s">
        <v>28</v>
      </c>
      <c r="H246" s="5" t="s">
        <v>29</v>
      </c>
      <c r="I246" s="5">
        <v>29.324076999999999</v>
      </c>
      <c r="J246" s="5">
        <v>76.299227000000002</v>
      </c>
      <c r="K246" s="5" t="s">
        <v>318</v>
      </c>
      <c r="L246" s="5"/>
      <c r="M246" s="5"/>
      <c r="N246" s="5"/>
      <c r="O246" s="5"/>
      <c r="P246" s="5" t="s">
        <v>317</v>
      </c>
      <c r="Q246" s="5"/>
      <c r="R246" s="5">
        <f t="shared" si="3"/>
        <v>372</v>
      </c>
      <c r="S246" s="5">
        <v>1</v>
      </c>
      <c r="T246" s="5">
        <v>31</v>
      </c>
      <c r="U246" s="5">
        <v>12</v>
      </c>
      <c r="V246" s="3"/>
    </row>
    <row r="247" spans="1:22" ht="14.25" customHeight="1">
      <c r="A247" s="25"/>
      <c r="B247" s="26"/>
      <c r="C247" s="26"/>
      <c r="D247" s="25"/>
      <c r="E247" s="31"/>
      <c r="F247" s="2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>
        <f t="shared" si="3"/>
        <v>78</v>
      </c>
      <c r="S247" s="5">
        <v>1</v>
      </c>
      <c r="T247" s="5">
        <v>12</v>
      </c>
      <c r="U247" s="5">
        <v>6.5</v>
      </c>
      <c r="V247" s="3"/>
    </row>
    <row r="248" spans="1:22" ht="14.25" customHeight="1">
      <c r="A248" s="25"/>
      <c r="B248" s="26"/>
      <c r="C248" s="26"/>
      <c r="D248" s="25"/>
      <c r="E248" s="31"/>
      <c r="F248" s="2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>
        <f t="shared" si="3"/>
        <v>81</v>
      </c>
      <c r="S248" s="5">
        <v>1</v>
      </c>
      <c r="T248" s="5">
        <v>18</v>
      </c>
      <c r="U248" s="5">
        <v>4.5</v>
      </c>
      <c r="V248" s="3"/>
    </row>
    <row r="249" spans="1:22" ht="14.25" customHeight="1">
      <c r="A249" s="25"/>
      <c r="B249" s="26"/>
      <c r="C249" s="26"/>
      <c r="D249" s="25"/>
      <c r="E249" s="31"/>
      <c r="F249" s="25"/>
      <c r="G249" s="5" t="s">
        <v>28</v>
      </c>
      <c r="H249" s="5" t="s">
        <v>29</v>
      </c>
      <c r="I249" s="5">
        <v>29.314969999999999</v>
      </c>
      <c r="J249" s="5">
        <v>76.294077000000001</v>
      </c>
      <c r="K249" s="5" t="s">
        <v>319</v>
      </c>
      <c r="L249" s="5"/>
      <c r="M249" s="5"/>
      <c r="N249" s="5"/>
      <c r="O249" s="5"/>
      <c r="P249" s="5" t="s">
        <v>317</v>
      </c>
      <c r="Q249" s="5"/>
      <c r="R249" s="5">
        <f t="shared" si="3"/>
        <v>577.5</v>
      </c>
      <c r="S249" s="5">
        <v>1</v>
      </c>
      <c r="T249" s="5">
        <v>35</v>
      </c>
      <c r="U249" s="5">
        <v>16.5</v>
      </c>
      <c r="V249" s="3"/>
    </row>
    <row r="250" spans="1:22" ht="14.25" customHeight="1">
      <c r="A250" s="25"/>
      <c r="B250" s="26"/>
      <c r="C250" s="26"/>
      <c r="D250" s="25"/>
      <c r="E250" s="31"/>
      <c r="F250" s="25"/>
      <c r="G250" s="5" t="s">
        <v>28</v>
      </c>
      <c r="H250" s="5" t="s">
        <v>29</v>
      </c>
      <c r="I250" s="5">
        <v>29.314851999999998</v>
      </c>
      <c r="J250" s="5">
        <v>76.294899999999998</v>
      </c>
      <c r="K250" s="5" t="s">
        <v>320</v>
      </c>
      <c r="L250" s="5"/>
      <c r="M250" s="5"/>
      <c r="N250" s="5"/>
      <c r="O250" s="5"/>
      <c r="P250" s="5" t="s">
        <v>321</v>
      </c>
      <c r="Q250" s="5"/>
      <c r="R250" s="5">
        <f t="shared" si="3"/>
        <v>352</v>
      </c>
      <c r="S250" s="5">
        <v>1</v>
      </c>
      <c r="T250" s="5">
        <v>22</v>
      </c>
      <c r="U250" s="5">
        <v>16</v>
      </c>
      <c r="V250" s="3"/>
    </row>
    <row r="251" spans="1:22" ht="14.25" customHeight="1">
      <c r="A251" s="25"/>
      <c r="B251" s="26"/>
      <c r="C251" s="26"/>
      <c r="D251" s="25"/>
      <c r="E251" s="31"/>
      <c r="F251" s="2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>
        <f t="shared" si="3"/>
        <v>15</v>
      </c>
      <c r="S251" s="5">
        <v>1</v>
      </c>
      <c r="T251" s="5">
        <v>3</v>
      </c>
      <c r="U251" s="5">
        <v>5</v>
      </c>
      <c r="V251" s="3"/>
    </row>
    <row r="252" spans="1:22" ht="14.25" customHeight="1">
      <c r="A252" s="25"/>
      <c r="B252" s="26"/>
      <c r="C252" s="26"/>
      <c r="D252" s="25"/>
      <c r="E252" s="31"/>
      <c r="F252" s="25"/>
      <c r="G252" s="5" t="s">
        <v>28</v>
      </c>
      <c r="H252" s="5" t="s">
        <v>29</v>
      </c>
      <c r="I252" s="5">
        <v>29.314910000000001</v>
      </c>
      <c r="J252" s="5">
        <v>76.295123000000004</v>
      </c>
      <c r="K252" s="5" t="s">
        <v>322</v>
      </c>
      <c r="L252" s="5"/>
      <c r="M252" s="5"/>
      <c r="N252" s="5"/>
      <c r="O252" s="5"/>
      <c r="P252" s="5" t="s">
        <v>321</v>
      </c>
      <c r="Q252" s="5"/>
      <c r="R252" s="5">
        <f t="shared" si="3"/>
        <v>374</v>
      </c>
      <c r="S252" s="5">
        <v>1</v>
      </c>
      <c r="T252" s="5">
        <v>22</v>
      </c>
      <c r="U252" s="5">
        <v>17</v>
      </c>
      <c r="V252" s="3"/>
    </row>
    <row r="253" spans="1:22" ht="14.25" customHeight="1">
      <c r="A253" s="25"/>
      <c r="B253" s="26"/>
      <c r="C253" s="26"/>
      <c r="D253" s="25"/>
      <c r="E253" s="31"/>
      <c r="F253" s="25"/>
      <c r="G253" s="5" t="s">
        <v>28</v>
      </c>
      <c r="H253" s="5" t="s">
        <v>29</v>
      </c>
      <c r="I253" s="5">
        <v>29.285467000000001</v>
      </c>
      <c r="J253" s="5">
        <v>76.302081999999999</v>
      </c>
      <c r="K253" s="5" t="s">
        <v>323</v>
      </c>
      <c r="L253" s="5"/>
      <c r="M253" s="5"/>
      <c r="N253" s="5"/>
      <c r="O253" s="5"/>
      <c r="P253" s="5" t="s">
        <v>321</v>
      </c>
      <c r="Q253" s="5"/>
      <c r="R253" s="5">
        <f t="shared" si="3"/>
        <v>357.75</v>
      </c>
      <c r="S253" s="5">
        <v>1</v>
      </c>
      <c r="T253" s="5">
        <v>26.5</v>
      </c>
      <c r="U253" s="5">
        <v>13.5</v>
      </c>
      <c r="V253" s="3"/>
    </row>
    <row r="254" spans="1:22" ht="14.25" customHeight="1">
      <c r="A254" s="25"/>
      <c r="B254" s="26"/>
      <c r="C254" s="26"/>
      <c r="D254" s="25"/>
      <c r="E254" s="31"/>
      <c r="F254" s="2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>
        <f t="shared" si="3"/>
        <v>232</v>
      </c>
      <c r="S254" s="5">
        <v>1</v>
      </c>
      <c r="T254" s="5">
        <v>16</v>
      </c>
      <c r="U254" s="5">
        <v>14.5</v>
      </c>
      <c r="V254" s="3"/>
    </row>
    <row r="255" spans="1:22" ht="14.25" customHeight="1">
      <c r="A255" s="25"/>
      <c r="B255" s="26"/>
      <c r="C255" s="26"/>
      <c r="D255" s="25"/>
      <c r="E255" s="31"/>
      <c r="F255" s="2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>
        <f t="shared" si="3"/>
        <v>7.5</v>
      </c>
      <c r="S255" s="5">
        <v>1</v>
      </c>
      <c r="T255" s="5">
        <v>2.5</v>
      </c>
      <c r="U255" s="5">
        <v>3</v>
      </c>
      <c r="V255" s="3"/>
    </row>
    <row r="256" spans="1:22" ht="14.25" customHeight="1">
      <c r="A256" s="25">
        <v>47</v>
      </c>
      <c r="B256" s="26" t="s">
        <v>23</v>
      </c>
      <c r="C256" s="26" t="s">
        <v>324</v>
      </c>
      <c r="D256" s="25" t="s">
        <v>25</v>
      </c>
      <c r="E256" s="31" t="s">
        <v>241</v>
      </c>
      <c r="F256" s="25" t="s">
        <v>325</v>
      </c>
      <c r="G256" s="5" t="s">
        <v>28</v>
      </c>
      <c r="H256" s="5" t="s">
        <v>29</v>
      </c>
      <c r="I256" s="5">
        <v>29.985928999999999</v>
      </c>
      <c r="J256" s="5">
        <v>76.582752999999997</v>
      </c>
      <c r="K256" s="5" t="s">
        <v>326</v>
      </c>
      <c r="L256" s="5"/>
      <c r="M256" s="5"/>
      <c r="N256" s="5"/>
      <c r="O256" s="5"/>
      <c r="P256" s="5" t="s">
        <v>327</v>
      </c>
      <c r="Q256" s="5"/>
      <c r="R256" s="5">
        <f t="shared" si="3"/>
        <v>435</v>
      </c>
      <c r="S256" s="5">
        <v>1</v>
      </c>
      <c r="T256" s="5">
        <v>29</v>
      </c>
      <c r="U256" s="5">
        <v>15</v>
      </c>
      <c r="V256" s="3"/>
    </row>
    <row r="257" spans="1:22" ht="14.25" customHeight="1">
      <c r="A257" s="25"/>
      <c r="B257" s="26"/>
      <c r="C257" s="26"/>
      <c r="D257" s="25"/>
      <c r="E257" s="31"/>
      <c r="F257" s="2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>
        <f t="shared" si="3"/>
        <v>42</v>
      </c>
      <c r="S257" s="5">
        <v>2</v>
      </c>
      <c r="T257" s="5">
        <v>3</v>
      </c>
      <c r="U257" s="5">
        <v>7</v>
      </c>
      <c r="V257" s="3"/>
    </row>
    <row r="258" spans="1:22" ht="14.25" customHeight="1">
      <c r="A258" s="25"/>
      <c r="B258" s="26"/>
      <c r="C258" s="26"/>
      <c r="D258" s="25"/>
      <c r="E258" s="31"/>
      <c r="F258" s="25"/>
      <c r="G258" s="5" t="s">
        <v>28</v>
      </c>
      <c r="H258" s="5" t="s">
        <v>29</v>
      </c>
      <c r="I258" s="5">
        <v>29.985811999999999</v>
      </c>
      <c r="J258" s="5">
        <v>76.582757000000001</v>
      </c>
      <c r="K258" s="5" t="s">
        <v>328</v>
      </c>
      <c r="L258" s="5"/>
      <c r="M258" s="5"/>
      <c r="N258" s="5"/>
      <c r="O258" s="5"/>
      <c r="P258" s="5" t="s">
        <v>327</v>
      </c>
      <c r="Q258" s="5"/>
      <c r="R258" s="5">
        <f t="shared" si="3"/>
        <v>385</v>
      </c>
      <c r="S258" s="5">
        <v>1</v>
      </c>
      <c r="T258" s="5">
        <v>27.5</v>
      </c>
      <c r="U258" s="5">
        <v>14</v>
      </c>
      <c r="V258" s="3"/>
    </row>
    <row r="259" spans="1:22" ht="14.25" customHeight="1">
      <c r="A259" s="25"/>
      <c r="B259" s="26"/>
      <c r="C259" s="26"/>
      <c r="D259" s="25"/>
      <c r="E259" s="31"/>
      <c r="F259" s="2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>
        <f t="shared" ref="R259:R272" si="4">S259*T259*U259</f>
        <v>47</v>
      </c>
      <c r="S259" s="5">
        <v>1</v>
      </c>
      <c r="T259" s="5">
        <v>23.5</v>
      </c>
      <c r="U259" s="5">
        <v>2</v>
      </c>
      <c r="V259" s="3"/>
    </row>
    <row r="260" spans="1:22" ht="14.25" customHeight="1">
      <c r="A260" s="25"/>
      <c r="B260" s="26"/>
      <c r="C260" s="26"/>
      <c r="D260" s="25"/>
      <c r="E260" s="31"/>
      <c r="F260" s="2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>
        <f t="shared" si="4"/>
        <v>108</v>
      </c>
      <c r="S260" s="5">
        <v>1</v>
      </c>
      <c r="T260" s="5">
        <v>8</v>
      </c>
      <c r="U260" s="5">
        <v>13.5</v>
      </c>
      <c r="V260" s="3"/>
    </row>
    <row r="261" spans="1:22" ht="14.25" customHeight="1">
      <c r="A261" s="25"/>
      <c r="B261" s="26"/>
      <c r="C261" s="26"/>
      <c r="D261" s="25"/>
      <c r="E261" s="31"/>
      <c r="F261" s="25"/>
      <c r="G261" s="5" t="s">
        <v>28</v>
      </c>
      <c r="H261" s="5" t="s">
        <v>29</v>
      </c>
      <c r="I261" s="5">
        <v>29.985951</v>
      </c>
      <c r="J261" s="5">
        <v>76.582505999999995</v>
      </c>
      <c r="K261" s="5" t="s">
        <v>329</v>
      </c>
      <c r="L261" s="5"/>
      <c r="M261" s="5"/>
      <c r="N261" s="5"/>
      <c r="O261" s="5"/>
      <c r="P261" s="5" t="s">
        <v>330</v>
      </c>
      <c r="Q261" s="5"/>
      <c r="R261" s="5">
        <f t="shared" si="4"/>
        <v>900</v>
      </c>
      <c r="S261" s="5">
        <v>1</v>
      </c>
      <c r="T261" s="5">
        <v>50</v>
      </c>
      <c r="U261" s="5">
        <v>18</v>
      </c>
      <c r="V261" s="3"/>
    </row>
    <row r="262" spans="1:22" ht="14.25" customHeight="1">
      <c r="A262" s="25"/>
      <c r="B262" s="26"/>
      <c r="C262" s="26"/>
      <c r="D262" s="25"/>
      <c r="E262" s="31"/>
      <c r="F262" s="25"/>
      <c r="G262" s="5" t="s">
        <v>28</v>
      </c>
      <c r="H262" s="5" t="s">
        <v>29</v>
      </c>
      <c r="I262" s="5">
        <v>29.987383999999999</v>
      </c>
      <c r="J262" s="5">
        <v>76.585311000000004</v>
      </c>
      <c r="K262" s="5" t="s">
        <v>331</v>
      </c>
      <c r="L262" s="5"/>
      <c r="M262" s="5"/>
      <c r="N262" s="5"/>
      <c r="O262" s="5"/>
      <c r="P262" s="5" t="s">
        <v>330</v>
      </c>
      <c r="Q262" s="5"/>
      <c r="R262" s="5">
        <f t="shared" si="4"/>
        <v>364</v>
      </c>
      <c r="S262" s="5">
        <v>1</v>
      </c>
      <c r="T262" s="5">
        <v>26</v>
      </c>
      <c r="U262" s="5">
        <v>14</v>
      </c>
      <c r="V262" s="3"/>
    </row>
    <row r="263" spans="1:22" ht="14.25" customHeight="1">
      <c r="A263" s="25"/>
      <c r="B263" s="26"/>
      <c r="C263" s="26"/>
      <c r="D263" s="25"/>
      <c r="E263" s="31"/>
      <c r="F263" s="25"/>
      <c r="G263" s="5" t="s">
        <v>28</v>
      </c>
      <c r="H263" s="5" t="s">
        <v>29</v>
      </c>
      <c r="I263" s="5">
        <v>29.987545000000001</v>
      </c>
      <c r="J263" s="5">
        <v>76.585369999999998</v>
      </c>
      <c r="K263" s="5" t="s">
        <v>332</v>
      </c>
      <c r="L263" s="5"/>
      <c r="M263" s="5"/>
      <c r="N263" s="5"/>
      <c r="O263" s="5"/>
      <c r="P263" s="5" t="s">
        <v>330</v>
      </c>
      <c r="Q263" s="5"/>
      <c r="R263" s="5">
        <f t="shared" si="4"/>
        <v>324</v>
      </c>
      <c r="S263" s="5">
        <v>1</v>
      </c>
      <c r="T263" s="5">
        <v>24</v>
      </c>
      <c r="U263" s="5">
        <v>13.5</v>
      </c>
      <c r="V263" s="3"/>
    </row>
    <row r="264" spans="1:22" ht="14.25" customHeight="1">
      <c r="A264" s="25"/>
      <c r="B264" s="26"/>
      <c r="C264" s="26"/>
      <c r="D264" s="25"/>
      <c r="E264" s="31"/>
      <c r="F264" s="25"/>
      <c r="G264" s="5" t="s">
        <v>28</v>
      </c>
      <c r="H264" s="5" t="s">
        <v>29</v>
      </c>
      <c r="I264" s="5">
        <v>29.987545000000001</v>
      </c>
      <c r="J264" s="5">
        <v>76.585369999999998</v>
      </c>
      <c r="K264" s="5" t="s">
        <v>333</v>
      </c>
      <c r="L264" s="5"/>
      <c r="M264" s="5"/>
      <c r="N264" s="5"/>
      <c r="O264" s="5"/>
      <c r="P264" s="5" t="s">
        <v>330</v>
      </c>
      <c r="Q264" s="5"/>
      <c r="R264" s="5">
        <f t="shared" si="4"/>
        <v>156</v>
      </c>
      <c r="S264" s="5">
        <v>1</v>
      </c>
      <c r="T264" s="5">
        <v>12</v>
      </c>
      <c r="U264" s="5">
        <v>13</v>
      </c>
      <c r="V264" s="3"/>
    </row>
    <row r="265" spans="1:22" ht="14.25" customHeight="1">
      <c r="A265" s="25"/>
      <c r="B265" s="26"/>
      <c r="C265" s="26"/>
      <c r="D265" s="25"/>
      <c r="E265" s="31"/>
      <c r="F265" s="2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>
        <f t="shared" si="4"/>
        <v>154</v>
      </c>
      <c r="S265" s="5">
        <v>1</v>
      </c>
      <c r="T265" s="5">
        <v>14</v>
      </c>
      <c r="U265" s="5">
        <v>11</v>
      </c>
      <c r="V265" s="3"/>
    </row>
    <row r="266" spans="1:22" ht="14.25" customHeight="1">
      <c r="A266" s="25"/>
      <c r="B266" s="26"/>
      <c r="C266" s="26"/>
      <c r="D266" s="25"/>
      <c r="E266" s="31"/>
      <c r="F266" s="2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>
        <f t="shared" si="4"/>
        <v>348</v>
      </c>
      <c r="S266" s="5">
        <v>1</v>
      </c>
      <c r="T266" s="5">
        <v>24</v>
      </c>
      <c r="U266" s="5">
        <v>14.5</v>
      </c>
      <c r="V266" s="3"/>
    </row>
    <row r="267" spans="1:22" ht="14.25" customHeight="1">
      <c r="A267" s="25"/>
      <c r="B267" s="26"/>
      <c r="C267" s="26"/>
      <c r="D267" s="25"/>
      <c r="E267" s="31"/>
      <c r="F267" s="2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>
        <f t="shared" si="4"/>
        <v>12</v>
      </c>
      <c r="S267" s="5">
        <v>1</v>
      </c>
      <c r="T267" s="5">
        <v>3</v>
      </c>
      <c r="U267" s="5">
        <v>4</v>
      </c>
      <c r="V267" s="3"/>
    </row>
    <row r="268" spans="1:22" ht="14.25" customHeight="1">
      <c r="A268" s="25"/>
      <c r="B268" s="26"/>
      <c r="C268" s="26"/>
      <c r="D268" s="25"/>
      <c r="E268" s="31"/>
      <c r="F268" s="25"/>
      <c r="G268" s="5" t="s">
        <v>28</v>
      </c>
      <c r="H268" s="5" t="s">
        <v>29</v>
      </c>
      <c r="I268" s="5">
        <v>29.987877000000001</v>
      </c>
      <c r="J268" s="5">
        <v>76.585988999999998</v>
      </c>
      <c r="K268" s="5" t="s">
        <v>334</v>
      </c>
      <c r="L268" s="5"/>
      <c r="M268" s="5"/>
      <c r="N268" s="5"/>
      <c r="O268" s="5"/>
      <c r="P268" s="5" t="s">
        <v>330</v>
      </c>
      <c r="Q268" s="5"/>
      <c r="R268" s="5">
        <f t="shared" si="4"/>
        <v>258</v>
      </c>
      <c r="S268" s="5">
        <v>1</v>
      </c>
      <c r="T268" s="5">
        <v>43</v>
      </c>
      <c r="U268" s="5">
        <v>6</v>
      </c>
      <c r="V268" s="3"/>
    </row>
    <row r="269" spans="1:22" ht="14.25" customHeight="1">
      <c r="A269" s="25"/>
      <c r="B269" s="26"/>
      <c r="C269" s="26"/>
      <c r="D269" s="25"/>
      <c r="E269" s="31"/>
      <c r="F269" s="25"/>
      <c r="G269" s="5" t="s">
        <v>28</v>
      </c>
      <c r="H269" s="5" t="s">
        <v>29</v>
      </c>
      <c r="I269" s="5">
        <v>29.990725999999999</v>
      </c>
      <c r="J269" s="5">
        <v>76.570021999999994</v>
      </c>
      <c r="K269" s="5" t="s">
        <v>335</v>
      </c>
      <c r="L269" s="5"/>
      <c r="M269" s="5"/>
      <c r="N269" s="5"/>
      <c r="O269" s="5"/>
      <c r="P269" s="5" t="s">
        <v>336</v>
      </c>
      <c r="Q269" s="5"/>
      <c r="R269" s="5">
        <f t="shared" si="4"/>
        <v>510</v>
      </c>
      <c r="S269" s="5">
        <v>1</v>
      </c>
      <c r="T269" s="5">
        <v>30</v>
      </c>
      <c r="U269" s="5">
        <v>17</v>
      </c>
      <c r="V269" s="3"/>
    </row>
    <row r="270" spans="1:22" ht="14.25" customHeight="1">
      <c r="A270" s="25"/>
      <c r="B270" s="26"/>
      <c r="C270" s="26"/>
      <c r="D270" s="25"/>
      <c r="E270" s="31"/>
      <c r="F270" s="25"/>
      <c r="G270" s="5" t="s">
        <v>28</v>
      </c>
      <c r="H270" s="5" t="s">
        <v>29</v>
      </c>
      <c r="I270" s="5">
        <v>29.990801000000001</v>
      </c>
      <c r="J270" s="5">
        <v>76.570105999999996</v>
      </c>
      <c r="K270" s="5" t="s">
        <v>337</v>
      </c>
      <c r="L270" s="5"/>
      <c r="M270" s="5"/>
      <c r="N270" s="5"/>
      <c r="O270" s="5"/>
      <c r="P270" s="5" t="s">
        <v>336</v>
      </c>
      <c r="Q270" s="5"/>
      <c r="R270" s="5">
        <f t="shared" si="4"/>
        <v>900</v>
      </c>
      <c r="S270" s="5">
        <v>1</v>
      </c>
      <c r="T270" s="5">
        <v>50</v>
      </c>
      <c r="U270" s="5">
        <v>18</v>
      </c>
      <c r="V270" s="3"/>
    </row>
    <row r="271" spans="1:22" ht="14.25" customHeight="1">
      <c r="A271" s="25"/>
      <c r="B271" s="26"/>
      <c r="C271" s="26"/>
      <c r="D271" s="25"/>
      <c r="E271" s="31"/>
      <c r="F271" s="25"/>
      <c r="G271" s="5" t="s">
        <v>28</v>
      </c>
      <c r="H271" s="5" t="s">
        <v>29</v>
      </c>
      <c r="I271" s="5">
        <v>29.990559000000001</v>
      </c>
      <c r="J271" s="5">
        <v>76.569922000000005</v>
      </c>
      <c r="K271" s="5" t="s">
        <v>338</v>
      </c>
      <c r="L271" s="5"/>
      <c r="M271" s="5"/>
      <c r="N271" s="5"/>
      <c r="O271" s="5"/>
      <c r="P271" s="5" t="s">
        <v>336</v>
      </c>
      <c r="Q271" s="5"/>
      <c r="R271" s="5">
        <f t="shared" si="4"/>
        <v>231.25</v>
      </c>
      <c r="S271" s="5">
        <v>1</v>
      </c>
      <c r="T271" s="5">
        <v>18.5</v>
      </c>
      <c r="U271" s="5">
        <v>12.5</v>
      </c>
      <c r="V271" s="3"/>
    </row>
    <row r="272" spans="1:22" ht="14.25" customHeight="1">
      <c r="A272" s="25"/>
      <c r="B272" s="26"/>
      <c r="C272" s="26"/>
      <c r="D272" s="25"/>
      <c r="E272" s="31"/>
      <c r="F272" s="2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>
        <f t="shared" si="4"/>
        <v>29.75</v>
      </c>
      <c r="S272" s="5">
        <v>1</v>
      </c>
      <c r="T272" s="5">
        <v>8.5</v>
      </c>
      <c r="U272" s="5">
        <v>3.5</v>
      </c>
      <c r="V272" s="3"/>
    </row>
    <row r="273" spans="1:26" ht="14.25" customHeight="1">
      <c r="A273" s="25"/>
      <c r="B273" s="26"/>
      <c r="C273" s="26"/>
      <c r="D273" s="25"/>
      <c r="E273" s="31"/>
      <c r="F273" s="2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>
        <f>S273*T273*U273</f>
        <v>135</v>
      </c>
      <c r="S273" s="5">
        <v>1</v>
      </c>
      <c r="T273" s="5">
        <v>13.5</v>
      </c>
      <c r="U273" s="5">
        <v>10</v>
      </c>
      <c r="V273" s="3"/>
    </row>
    <row r="274" spans="1:26" ht="14.25" customHeight="1">
      <c r="A274" s="5"/>
      <c r="B274" s="4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6" ht="14.25" customHeight="1">
      <c r="A275" s="10"/>
      <c r="B275" s="10"/>
      <c r="C275" s="2"/>
      <c r="D275" s="10"/>
      <c r="E275" s="10"/>
      <c r="F275" s="5"/>
      <c r="G275" s="10"/>
      <c r="H275" s="10"/>
      <c r="I275" s="10"/>
      <c r="J275" s="29" t="s">
        <v>339</v>
      </c>
      <c r="K275" s="29"/>
      <c r="L275" s="29"/>
      <c r="M275" s="29"/>
      <c r="N275" s="2"/>
      <c r="O275" s="2"/>
      <c r="P275" s="2"/>
      <c r="Q275" s="2"/>
      <c r="R275" s="11">
        <f>SUM(R3:R274)</f>
        <v>119609.75</v>
      </c>
      <c r="S275" s="2"/>
      <c r="T275" s="2"/>
      <c r="U275" s="5"/>
    </row>
    <row r="276" spans="1:26" ht="14.25" customHeight="1">
      <c r="A276" s="12"/>
      <c r="B276" s="12"/>
      <c r="C276" s="13"/>
      <c r="D276" s="12"/>
      <c r="E276" s="12"/>
      <c r="F276" s="12"/>
      <c r="G276" s="12"/>
      <c r="H276" s="12"/>
      <c r="I276" s="12"/>
      <c r="J276" s="13"/>
      <c r="K276" s="13"/>
      <c r="L276" s="13"/>
      <c r="M276" s="13"/>
      <c r="N276" s="12"/>
      <c r="O276" s="12"/>
      <c r="P276" s="12"/>
      <c r="Q276" s="12"/>
      <c r="R276" s="12"/>
      <c r="S276" s="12"/>
      <c r="T276" s="12"/>
      <c r="U276" s="3"/>
    </row>
    <row r="277" spans="1:26" ht="14.25" customHeight="1">
      <c r="A277" s="12"/>
      <c r="B277" s="12"/>
      <c r="C277" s="13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3"/>
    </row>
    <row r="278" spans="1:26" ht="17.25" customHeight="1">
      <c r="A278" s="12"/>
      <c r="B278" s="12"/>
      <c r="C278" s="13"/>
      <c r="D278" s="12"/>
      <c r="E278" s="12"/>
      <c r="F278" s="12"/>
      <c r="G278" s="12"/>
      <c r="H278" s="12"/>
      <c r="I278" s="12"/>
      <c r="J278" s="30" t="s">
        <v>340</v>
      </c>
      <c r="K278" s="30"/>
      <c r="L278" s="30"/>
      <c r="M278" s="12"/>
      <c r="N278" s="12"/>
      <c r="O278" s="12"/>
      <c r="P278" s="12"/>
      <c r="Q278" s="12"/>
      <c r="R278" s="1">
        <f>R275</f>
        <v>119609.75</v>
      </c>
      <c r="S278" s="12"/>
      <c r="T278" s="12"/>
      <c r="U278" s="21"/>
      <c r="W278">
        <f>W273+W275</f>
        <v>0</v>
      </c>
      <c r="Z278" s="19"/>
    </row>
    <row r="279" spans="1:26" ht="14.25" customHeight="1">
      <c r="A279" s="14"/>
      <c r="B279" s="14"/>
      <c r="C279" s="15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6"/>
      <c r="Q279" s="14"/>
      <c r="R279" s="14"/>
      <c r="S279" s="14"/>
      <c r="T279" s="14"/>
    </row>
    <row r="280" spans="1:26" ht="14.25" customHeight="1">
      <c r="A280" s="14"/>
      <c r="B280" s="14"/>
      <c r="C280" s="15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6"/>
      <c r="Q280" s="14"/>
      <c r="R280" s="14"/>
      <c r="S280" s="14"/>
      <c r="T280" s="14"/>
    </row>
    <row r="281" spans="1:26" ht="14.25" customHeight="1">
      <c r="A281" s="14"/>
      <c r="B281" s="14"/>
      <c r="C281" s="15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6"/>
      <c r="Q281" s="14"/>
      <c r="R281" s="14"/>
      <c r="S281" s="14"/>
      <c r="T281" s="14"/>
    </row>
    <row r="282" spans="1:26" ht="14.25" customHeight="1">
      <c r="A282" s="17"/>
      <c r="B282" s="17"/>
      <c r="C282" s="15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6"/>
      <c r="Q282" s="14"/>
      <c r="R282" s="14"/>
      <c r="S282" s="14"/>
      <c r="T282" s="14"/>
    </row>
    <row r="283" spans="1:26" ht="14.25" customHeight="1">
      <c r="A283" s="17"/>
      <c r="B283" s="17"/>
      <c r="C283" s="18"/>
      <c r="D283" s="17"/>
      <c r="E283" s="17"/>
      <c r="F283" s="14"/>
      <c r="G283" s="17"/>
      <c r="H283" s="17"/>
      <c r="I283" s="17"/>
      <c r="J283" s="14"/>
      <c r="K283" s="14"/>
      <c r="L283" s="14"/>
      <c r="M283" s="14"/>
      <c r="N283" s="17"/>
      <c r="O283" s="17"/>
      <c r="P283" s="17"/>
      <c r="Q283" s="17"/>
      <c r="R283" s="17"/>
      <c r="S283" s="17"/>
      <c r="T283" s="17"/>
      <c r="W283" s="19"/>
    </row>
    <row r="284" spans="1:26" ht="14.25" customHeight="1">
      <c r="A284" s="17"/>
      <c r="B284" s="17"/>
      <c r="C284" s="18"/>
      <c r="D284" s="17"/>
      <c r="E284" s="17"/>
      <c r="F284" s="17" t="s">
        <v>341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spans="1:26" ht="14.25" customHeight="1">
      <c r="A285" s="17"/>
      <c r="B285" s="17"/>
      <c r="C285" s="18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spans="1:26" ht="14.25" customHeight="1">
      <c r="A286" s="17"/>
      <c r="B286" s="17"/>
      <c r="C286" s="18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spans="1:26" ht="14.25" customHeight="1">
      <c r="A287" s="17"/>
      <c r="B287" s="17"/>
      <c r="C287" s="18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spans="1:26" ht="15" customHeight="1">
      <c r="A288" s="17"/>
      <c r="B288" s="17"/>
      <c r="C288" s="18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spans="1:20" ht="16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spans="1:20" ht="1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spans="1:20" ht="15"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spans="1:20" ht="15">
      <c r="F292" s="17"/>
      <c r="J292" s="17"/>
      <c r="K292" s="17"/>
      <c r="L292" s="17"/>
      <c r="M292" s="17"/>
    </row>
  </sheetData>
  <mergeCells count="260">
    <mergeCell ref="A226:A239"/>
    <mergeCell ref="B226:B239"/>
    <mergeCell ref="C226:C239"/>
    <mergeCell ref="D226:D239"/>
    <mergeCell ref="E226:E239"/>
    <mergeCell ref="F226:F239"/>
    <mergeCell ref="J275:M275"/>
    <mergeCell ref="J278:L278"/>
    <mergeCell ref="A240:A255"/>
    <mergeCell ref="B240:B255"/>
    <mergeCell ref="C240:C255"/>
    <mergeCell ref="D240:D255"/>
    <mergeCell ref="E240:E255"/>
    <mergeCell ref="F240:F255"/>
    <mergeCell ref="A256:A273"/>
    <mergeCell ref="B256:B273"/>
    <mergeCell ref="C256:C273"/>
    <mergeCell ref="D256:D273"/>
    <mergeCell ref="E256:E273"/>
    <mergeCell ref="F256:F273"/>
    <mergeCell ref="A199:A219"/>
    <mergeCell ref="B199:B219"/>
    <mergeCell ref="C199:C219"/>
    <mergeCell ref="D199:D219"/>
    <mergeCell ref="E199:E219"/>
    <mergeCell ref="F199:F219"/>
    <mergeCell ref="A220:A225"/>
    <mergeCell ref="B220:B225"/>
    <mergeCell ref="C220:C225"/>
    <mergeCell ref="D220:D225"/>
    <mergeCell ref="E220:E225"/>
    <mergeCell ref="F220:F225"/>
    <mergeCell ref="V189:V190"/>
    <mergeCell ref="A191:A192"/>
    <mergeCell ref="B191:B192"/>
    <mergeCell ref="C191:C192"/>
    <mergeCell ref="D191:D192"/>
    <mergeCell ref="E191:E192"/>
    <mergeCell ref="F191:F192"/>
    <mergeCell ref="V191:V192"/>
    <mergeCell ref="A194:A198"/>
    <mergeCell ref="B194:B198"/>
    <mergeCell ref="C194:C198"/>
    <mergeCell ref="D194:D198"/>
    <mergeCell ref="E194:E198"/>
    <mergeCell ref="F194:F198"/>
    <mergeCell ref="V194:V198"/>
    <mergeCell ref="A185:A188"/>
    <mergeCell ref="B185:B188"/>
    <mergeCell ref="C185:C188"/>
    <mergeCell ref="D185:D188"/>
    <mergeCell ref="E185:E188"/>
    <mergeCell ref="F185:F188"/>
    <mergeCell ref="A189:A190"/>
    <mergeCell ref="B189:B190"/>
    <mergeCell ref="C189:C190"/>
    <mergeCell ref="D189:D190"/>
    <mergeCell ref="E189:E190"/>
    <mergeCell ref="F189:F190"/>
    <mergeCell ref="A175:A177"/>
    <mergeCell ref="B175:B177"/>
    <mergeCell ref="C175:C177"/>
    <mergeCell ref="D175:D177"/>
    <mergeCell ref="E175:E177"/>
    <mergeCell ref="F175:F177"/>
    <mergeCell ref="A178:A184"/>
    <mergeCell ref="B178:B184"/>
    <mergeCell ref="C178:C184"/>
    <mergeCell ref="D178:D184"/>
    <mergeCell ref="E178:E184"/>
    <mergeCell ref="F178:F184"/>
    <mergeCell ref="A165:A170"/>
    <mergeCell ref="B165:B170"/>
    <mergeCell ref="C165:C170"/>
    <mergeCell ref="D165:D170"/>
    <mergeCell ref="E165:E170"/>
    <mergeCell ref="F165:F170"/>
    <mergeCell ref="A171:A174"/>
    <mergeCell ref="B171:B174"/>
    <mergeCell ref="C171:C174"/>
    <mergeCell ref="D171:D174"/>
    <mergeCell ref="E171:E174"/>
    <mergeCell ref="F171:F174"/>
    <mergeCell ref="A161:A162"/>
    <mergeCell ref="B161:B162"/>
    <mergeCell ref="C161:C162"/>
    <mergeCell ref="D161:D162"/>
    <mergeCell ref="E161:E162"/>
    <mergeCell ref="F161:F162"/>
    <mergeCell ref="A163:A164"/>
    <mergeCell ref="B163:B164"/>
    <mergeCell ref="C163:C164"/>
    <mergeCell ref="D163:D164"/>
    <mergeCell ref="E163:E164"/>
    <mergeCell ref="F163:F164"/>
    <mergeCell ref="A152:A153"/>
    <mergeCell ref="B152:B153"/>
    <mergeCell ref="C152:C153"/>
    <mergeCell ref="D152:D153"/>
    <mergeCell ref="E152:E153"/>
    <mergeCell ref="F152:F153"/>
    <mergeCell ref="A154:A159"/>
    <mergeCell ref="B154:B159"/>
    <mergeCell ref="C154:C159"/>
    <mergeCell ref="D154:D159"/>
    <mergeCell ref="E154:E159"/>
    <mergeCell ref="F154:F159"/>
    <mergeCell ref="A137:A148"/>
    <mergeCell ref="B137:B148"/>
    <mergeCell ref="C137:C148"/>
    <mergeCell ref="D137:D148"/>
    <mergeCell ref="E137:E148"/>
    <mergeCell ref="F137:F148"/>
    <mergeCell ref="A149:A151"/>
    <mergeCell ref="B149:B151"/>
    <mergeCell ref="C149:C151"/>
    <mergeCell ref="D149:D151"/>
    <mergeCell ref="E149:E151"/>
    <mergeCell ref="F149:F151"/>
    <mergeCell ref="A129:A133"/>
    <mergeCell ref="B129:B133"/>
    <mergeCell ref="C129:C133"/>
    <mergeCell ref="D129:D133"/>
    <mergeCell ref="E129:E133"/>
    <mergeCell ref="F129:F133"/>
    <mergeCell ref="A134:A136"/>
    <mergeCell ref="B134:B136"/>
    <mergeCell ref="C134:C136"/>
    <mergeCell ref="D134:D136"/>
    <mergeCell ref="E134:E136"/>
    <mergeCell ref="F134:F136"/>
    <mergeCell ref="A110:A113"/>
    <mergeCell ref="B110:B113"/>
    <mergeCell ref="C110:C113"/>
    <mergeCell ref="D110:D113"/>
    <mergeCell ref="E110:E113"/>
    <mergeCell ref="F110:F113"/>
    <mergeCell ref="A114:A128"/>
    <mergeCell ref="B114:B128"/>
    <mergeCell ref="C114:C128"/>
    <mergeCell ref="D114:D128"/>
    <mergeCell ref="E114:E128"/>
    <mergeCell ref="F114:F128"/>
    <mergeCell ref="A104:A105"/>
    <mergeCell ref="B104:B105"/>
    <mergeCell ref="C104:C105"/>
    <mergeCell ref="D104:D105"/>
    <mergeCell ref="E104:E105"/>
    <mergeCell ref="F104:F105"/>
    <mergeCell ref="A106:A109"/>
    <mergeCell ref="B106:B109"/>
    <mergeCell ref="C106:C109"/>
    <mergeCell ref="D106:D109"/>
    <mergeCell ref="E106:E109"/>
    <mergeCell ref="F106:F109"/>
    <mergeCell ref="A89:A96"/>
    <mergeCell ref="B89:B96"/>
    <mergeCell ref="C89:C96"/>
    <mergeCell ref="D89:D96"/>
    <mergeCell ref="E89:E96"/>
    <mergeCell ref="F89:F96"/>
    <mergeCell ref="A97:A103"/>
    <mergeCell ref="B97:B103"/>
    <mergeCell ref="C97:C103"/>
    <mergeCell ref="D97:D103"/>
    <mergeCell ref="E97:E103"/>
    <mergeCell ref="F97:F103"/>
    <mergeCell ref="A80:A81"/>
    <mergeCell ref="B80:B81"/>
    <mergeCell ref="C80:C81"/>
    <mergeCell ref="D80:D81"/>
    <mergeCell ref="E80:E81"/>
    <mergeCell ref="F80:F81"/>
    <mergeCell ref="A82:A88"/>
    <mergeCell ref="B82:B88"/>
    <mergeCell ref="C82:C88"/>
    <mergeCell ref="D82:D88"/>
    <mergeCell ref="E82:E88"/>
    <mergeCell ref="F82:F88"/>
    <mergeCell ref="A57:A64"/>
    <mergeCell ref="B57:B64"/>
    <mergeCell ref="C57:C64"/>
    <mergeCell ref="D57:D64"/>
    <mergeCell ref="E57:E64"/>
    <mergeCell ref="F57:F64"/>
    <mergeCell ref="A66:A79"/>
    <mergeCell ref="B66:B79"/>
    <mergeCell ref="C66:C79"/>
    <mergeCell ref="D66:D79"/>
    <mergeCell ref="E66:E79"/>
    <mergeCell ref="F66:F79"/>
    <mergeCell ref="A49:A52"/>
    <mergeCell ref="B49:B52"/>
    <mergeCell ref="C49:C52"/>
    <mergeCell ref="D49:D52"/>
    <mergeCell ref="E49:E52"/>
    <mergeCell ref="F49:F52"/>
    <mergeCell ref="A53:A56"/>
    <mergeCell ref="B53:B56"/>
    <mergeCell ref="C53:C56"/>
    <mergeCell ref="D53:D56"/>
    <mergeCell ref="E53:E56"/>
    <mergeCell ref="F53:F56"/>
    <mergeCell ref="A42:A44"/>
    <mergeCell ref="B42:B44"/>
    <mergeCell ref="C42:C44"/>
    <mergeCell ref="D42:D44"/>
    <mergeCell ref="E42:E44"/>
    <mergeCell ref="F42:F44"/>
    <mergeCell ref="A45:A48"/>
    <mergeCell ref="B45:B48"/>
    <mergeCell ref="C45:C48"/>
    <mergeCell ref="D45:D48"/>
    <mergeCell ref="E45:E48"/>
    <mergeCell ref="F45:F48"/>
    <mergeCell ref="A32:A35"/>
    <mergeCell ref="B32:B35"/>
    <mergeCell ref="C32:C35"/>
    <mergeCell ref="D32:D35"/>
    <mergeCell ref="E32:E35"/>
    <mergeCell ref="F32:F35"/>
    <mergeCell ref="A36:A41"/>
    <mergeCell ref="B36:B41"/>
    <mergeCell ref="C36:C41"/>
    <mergeCell ref="D36:D41"/>
    <mergeCell ref="E36:E41"/>
    <mergeCell ref="F36:F41"/>
    <mergeCell ref="D24:D29"/>
    <mergeCell ref="E24:E29"/>
    <mergeCell ref="F24:F29"/>
    <mergeCell ref="A30:A31"/>
    <mergeCell ref="B30:B31"/>
    <mergeCell ref="C30:C31"/>
    <mergeCell ref="D30:D31"/>
    <mergeCell ref="E30:E31"/>
    <mergeCell ref="F30:F31"/>
    <mergeCell ref="V3:V170"/>
    <mergeCell ref="A1:S1"/>
    <mergeCell ref="T1:U1"/>
    <mergeCell ref="A3:A8"/>
    <mergeCell ref="B3:B8"/>
    <mergeCell ref="C3:C8"/>
    <mergeCell ref="D3:D8"/>
    <mergeCell ref="E3:E8"/>
    <mergeCell ref="F3:F8"/>
    <mergeCell ref="A9:A14"/>
    <mergeCell ref="B9:B14"/>
    <mergeCell ref="C9:C14"/>
    <mergeCell ref="D9:D14"/>
    <mergeCell ref="E9:E14"/>
    <mergeCell ref="F9:F14"/>
    <mergeCell ref="A17:A23"/>
    <mergeCell ref="B17:B23"/>
    <mergeCell ref="C17:C23"/>
    <mergeCell ref="D17:D23"/>
    <mergeCell ref="E17:E23"/>
    <mergeCell ref="F17:F23"/>
    <mergeCell ref="A24:A29"/>
    <mergeCell ref="B24:B29"/>
    <mergeCell ref="C24:C29"/>
  </mergeCells>
  <printOptions gridLines="1"/>
  <pageMargins left="0.118055555555556" right="0.118055555555556" top="0.66944444444444495" bottom="0.47222222222222199" header="0.511811023622047" footer="0.511811023622047"/>
  <pageSetup paperSize="9" scale="7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2"/>
  <sheetViews>
    <sheetView tabSelected="1" topLeftCell="D18" workbookViewId="0">
      <selection activeCell="R44" sqref="R44"/>
    </sheetView>
  </sheetViews>
  <sheetFormatPr defaultColWidth="8.85546875" defaultRowHeight="12.95"/>
  <cols>
    <col min="1" max="1" width="4.28515625" customWidth="1"/>
    <col min="2" max="2" width="8" customWidth="1"/>
    <col min="3" max="3" width="37.85546875" customWidth="1"/>
    <col min="4" max="4" width="6.28515625" customWidth="1"/>
    <col min="5" max="5" width="10.140625" customWidth="1"/>
    <col min="6" max="6" width="31.42578125" customWidth="1"/>
    <col min="7" max="7" width="10.140625" customWidth="1"/>
    <col min="8" max="8" width="5" customWidth="1"/>
    <col min="9" max="9" width="12.42578125" customWidth="1"/>
    <col min="10" max="10" width="10.7109375" customWidth="1"/>
    <col min="11" max="11" width="18.42578125" customWidth="1"/>
    <col min="12" max="12" width="8.140625" customWidth="1"/>
    <col min="13" max="15" width="0" hidden="1" customWidth="1"/>
    <col min="16" max="16" width="11" customWidth="1"/>
    <col min="17" max="17" width="0" hidden="1" customWidth="1"/>
    <col min="18" max="18" width="11.7109375" customWidth="1"/>
    <col min="19" max="19" width="5" customWidth="1"/>
    <col min="20" max="20" width="5.7109375" customWidth="1"/>
  </cols>
  <sheetData>
    <row r="1" spans="1:21" ht="20.100000000000001">
      <c r="A1" s="23" t="s">
        <v>342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4" t="s">
        <v>1</v>
      </c>
      <c r="U1" s="24"/>
    </row>
    <row r="2" spans="1:21" ht="4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6" t="s">
        <v>17</v>
      </c>
      <c r="Q2" s="6" t="s">
        <v>18</v>
      </c>
      <c r="R2" s="6" t="s">
        <v>19</v>
      </c>
      <c r="S2" s="8" t="s">
        <v>20</v>
      </c>
      <c r="T2" s="8" t="s">
        <v>21</v>
      </c>
      <c r="U2" s="8" t="s">
        <v>22</v>
      </c>
    </row>
    <row r="3" spans="1:21">
      <c r="A3" s="25">
        <v>1</v>
      </c>
      <c r="B3" s="26" t="s">
        <v>23</v>
      </c>
      <c r="C3" s="26" t="s">
        <v>343</v>
      </c>
      <c r="D3" s="25" t="s">
        <v>344</v>
      </c>
      <c r="E3" s="25" t="s">
        <v>345</v>
      </c>
      <c r="F3" s="31" t="s">
        <v>346</v>
      </c>
      <c r="G3" s="5" t="s">
        <v>347</v>
      </c>
      <c r="H3" s="5" t="s">
        <v>29</v>
      </c>
      <c r="I3" s="5">
        <v>28.511600000000001</v>
      </c>
      <c r="J3" s="5">
        <v>77.184538000000003</v>
      </c>
      <c r="K3" s="5" t="s">
        <v>95</v>
      </c>
      <c r="L3" s="5"/>
      <c r="M3" s="5"/>
      <c r="N3" s="5"/>
      <c r="O3" s="5"/>
      <c r="P3" s="5" t="s">
        <v>283</v>
      </c>
      <c r="Q3" s="5"/>
      <c r="R3" s="5">
        <f t="shared" ref="R3:R55" si="0">S3*T3*U3</f>
        <v>540</v>
      </c>
      <c r="S3" s="5">
        <v>1</v>
      </c>
      <c r="T3" s="5">
        <v>90</v>
      </c>
      <c r="U3" s="5">
        <v>6</v>
      </c>
    </row>
    <row r="4" spans="1:21">
      <c r="A4" s="25"/>
      <c r="B4" s="26"/>
      <c r="C4" s="26"/>
      <c r="D4" s="25"/>
      <c r="E4" s="25"/>
      <c r="F4" s="31"/>
      <c r="G4" s="5" t="s">
        <v>347</v>
      </c>
      <c r="H4" s="5" t="s">
        <v>29</v>
      </c>
      <c r="I4" s="5">
        <v>28.511423000000001</v>
      </c>
      <c r="J4" s="5">
        <v>77.184685000000002</v>
      </c>
      <c r="K4" s="5" t="s">
        <v>97</v>
      </c>
      <c r="L4" s="5"/>
      <c r="M4" s="5"/>
      <c r="N4" s="5"/>
      <c r="O4" s="5"/>
      <c r="P4" s="5" t="s">
        <v>283</v>
      </c>
      <c r="Q4" s="5"/>
      <c r="R4" s="5">
        <f t="shared" si="0"/>
        <v>208</v>
      </c>
      <c r="S4" s="5">
        <v>1</v>
      </c>
      <c r="T4" s="5">
        <v>16</v>
      </c>
      <c r="U4" s="5">
        <v>13</v>
      </c>
    </row>
    <row r="5" spans="1:21">
      <c r="A5" s="25"/>
      <c r="B5" s="26"/>
      <c r="C5" s="26"/>
      <c r="D5" s="25"/>
      <c r="E5" s="25"/>
      <c r="F5" s="3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f t="shared" si="0"/>
        <v>63</v>
      </c>
      <c r="S5" s="5">
        <v>1</v>
      </c>
      <c r="T5" s="5">
        <v>9</v>
      </c>
      <c r="U5" s="5">
        <v>7</v>
      </c>
    </row>
    <row r="6" spans="1:21">
      <c r="A6" s="25"/>
      <c r="B6" s="26"/>
      <c r="C6" s="26"/>
      <c r="D6" s="25"/>
      <c r="E6" s="25"/>
      <c r="F6" s="3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f t="shared" si="0"/>
        <v>18</v>
      </c>
      <c r="S6" s="5">
        <v>1</v>
      </c>
      <c r="T6" s="5">
        <v>3</v>
      </c>
      <c r="U6" s="5">
        <v>6</v>
      </c>
    </row>
    <row r="7" spans="1:21">
      <c r="A7" s="25"/>
      <c r="B7" s="26"/>
      <c r="C7" s="26"/>
      <c r="D7" s="25"/>
      <c r="E7" s="25"/>
      <c r="F7" s="31"/>
      <c r="G7" s="5" t="s">
        <v>347</v>
      </c>
      <c r="H7" s="5" t="s">
        <v>29</v>
      </c>
      <c r="I7" s="5">
        <v>28.511517999999999</v>
      </c>
      <c r="J7" s="5">
        <v>77.184527000000003</v>
      </c>
      <c r="K7" s="5" t="s">
        <v>291</v>
      </c>
      <c r="L7" s="5" t="s">
        <v>36</v>
      </c>
      <c r="M7" s="5"/>
      <c r="N7" s="5"/>
      <c r="O7" s="5"/>
      <c r="P7" s="5" t="s">
        <v>283</v>
      </c>
      <c r="Q7" s="5"/>
      <c r="R7" s="5">
        <f t="shared" si="0"/>
        <v>560</v>
      </c>
      <c r="S7" s="5">
        <v>1</v>
      </c>
      <c r="T7" s="5">
        <v>40</v>
      </c>
      <c r="U7" s="5">
        <v>14</v>
      </c>
    </row>
    <row r="8" spans="1:21">
      <c r="A8" s="25"/>
      <c r="B8" s="26"/>
      <c r="C8" s="26"/>
      <c r="D8" s="25"/>
      <c r="E8" s="25"/>
      <c r="F8" s="3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f t="shared" si="0"/>
        <v>28</v>
      </c>
      <c r="S8" s="5">
        <v>1</v>
      </c>
      <c r="T8" s="5">
        <v>14</v>
      </c>
      <c r="U8" s="5">
        <v>2</v>
      </c>
    </row>
    <row r="9" spans="1:21">
      <c r="A9" s="25"/>
      <c r="B9" s="26"/>
      <c r="C9" s="26"/>
      <c r="D9" s="25"/>
      <c r="E9" s="25"/>
      <c r="F9" s="3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f t="shared" si="0"/>
        <v>52</v>
      </c>
      <c r="S9" s="5">
        <v>1</v>
      </c>
      <c r="T9" s="5">
        <v>13</v>
      </c>
      <c r="U9" s="5">
        <v>4</v>
      </c>
    </row>
    <row r="10" spans="1:21">
      <c r="A10" s="25"/>
      <c r="B10" s="26"/>
      <c r="C10" s="26"/>
      <c r="D10" s="25"/>
      <c r="E10" s="25"/>
      <c r="F10" s="3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f t="shared" si="0"/>
        <v>30</v>
      </c>
      <c r="S10" s="5">
        <v>1</v>
      </c>
      <c r="T10" s="5">
        <v>15</v>
      </c>
      <c r="U10" s="5">
        <v>2</v>
      </c>
    </row>
    <row r="11" spans="1:21">
      <c r="A11" s="25"/>
      <c r="B11" s="26"/>
      <c r="C11" s="26"/>
      <c r="D11" s="25"/>
      <c r="E11" s="25"/>
      <c r="F11" s="31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f t="shared" si="0"/>
        <v>9</v>
      </c>
      <c r="S11" s="5">
        <v>1</v>
      </c>
      <c r="T11" s="5">
        <v>3</v>
      </c>
      <c r="U11" s="5">
        <v>3</v>
      </c>
    </row>
    <row r="12" spans="1:21">
      <c r="A12" s="25"/>
      <c r="B12" s="26"/>
      <c r="C12" s="26"/>
      <c r="D12" s="25"/>
      <c r="E12" s="25"/>
      <c r="F12" s="31"/>
      <c r="G12" s="5" t="s">
        <v>347</v>
      </c>
      <c r="H12" s="5" t="s">
        <v>29</v>
      </c>
      <c r="I12" s="5">
        <v>28.511503000000001</v>
      </c>
      <c r="J12" s="5">
        <v>77.184538000000003</v>
      </c>
      <c r="K12" s="5" t="s">
        <v>292</v>
      </c>
      <c r="L12" s="5"/>
      <c r="M12" s="5"/>
      <c r="N12" s="5"/>
      <c r="O12" s="5"/>
      <c r="P12" s="5" t="s">
        <v>283</v>
      </c>
      <c r="Q12" s="5"/>
      <c r="R12" s="5">
        <f t="shared" si="0"/>
        <v>261</v>
      </c>
      <c r="S12" s="5">
        <v>1</v>
      </c>
      <c r="T12" s="5">
        <v>29</v>
      </c>
      <c r="U12" s="5">
        <v>9</v>
      </c>
    </row>
    <row r="13" spans="1:21">
      <c r="A13" s="25"/>
      <c r="B13" s="26"/>
      <c r="C13" s="26"/>
      <c r="D13" s="25"/>
      <c r="E13" s="25"/>
      <c r="F13" s="31"/>
      <c r="G13" s="5" t="s">
        <v>347</v>
      </c>
      <c r="H13" s="5" t="s">
        <v>29</v>
      </c>
      <c r="I13" s="5"/>
      <c r="J13" s="5"/>
      <c r="K13" s="5" t="s">
        <v>293</v>
      </c>
      <c r="L13" s="5"/>
      <c r="M13" s="5"/>
      <c r="N13" s="5"/>
      <c r="O13" s="5"/>
      <c r="P13" s="5" t="s">
        <v>283</v>
      </c>
      <c r="Q13" s="5"/>
      <c r="R13" s="5">
        <f t="shared" si="0"/>
        <v>85</v>
      </c>
      <c r="S13" s="5">
        <v>1</v>
      </c>
      <c r="T13" s="5">
        <v>10</v>
      </c>
      <c r="U13" s="5">
        <v>8.5</v>
      </c>
    </row>
    <row r="14" spans="1:21">
      <c r="A14" s="25"/>
      <c r="B14" s="26"/>
      <c r="C14" s="26"/>
      <c r="D14" s="25"/>
      <c r="E14" s="25"/>
      <c r="F14" s="31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f t="shared" si="0"/>
        <v>312</v>
      </c>
      <c r="S14" s="5">
        <v>1</v>
      </c>
      <c r="T14" s="5">
        <v>39</v>
      </c>
      <c r="U14" s="5">
        <v>8</v>
      </c>
    </row>
    <row r="15" spans="1:21">
      <c r="A15" s="25">
        <v>2</v>
      </c>
      <c r="B15" s="26" t="s">
        <v>23</v>
      </c>
      <c r="C15" s="26" t="s">
        <v>348</v>
      </c>
      <c r="D15" s="25" t="s">
        <v>344</v>
      </c>
      <c r="E15" s="25" t="s">
        <v>345</v>
      </c>
      <c r="F15" s="25" t="s">
        <v>349</v>
      </c>
      <c r="G15" s="5" t="s">
        <v>347</v>
      </c>
      <c r="H15" s="5" t="s">
        <v>29</v>
      </c>
      <c r="I15" s="5">
        <v>28.543545000000002</v>
      </c>
      <c r="J15" s="5">
        <v>77.046355000000005</v>
      </c>
      <c r="K15" s="5" t="s">
        <v>100</v>
      </c>
      <c r="L15" s="5"/>
      <c r="M15" s="5"/>
      <c r="N15" s="5"/>
      <c r="O15" s="5"/>
      <c r="P15" s="5" t="s">
        <v>350</v>
      </c>
      <c r="Q15" s="5"/>
      <c r="R15" s="5">
        <f t="shared" si="0"/>
        <v>420</v>
      </c>
      <c r="S15" s="5">
        <v>1</v>
      </c>
      <c r="T15" s="5">
        <v>35</v>
      </c>
      <c r="U15" s="5">
        <v>12</v>
      </c>
    </row>
    <row r="16" spans="1:21">
      <c r="A16" s="25"/>
      <c r="B16" s="26"/>
      <c r="C16" s="26"/>
      <c r="D16" s="25"/>
      <c r="E16" s="25"/>
      <c r="F16" s="25"/>
      <c r="G16" s="5" t="s">
        <v>347</v>
      </c>
      <c r="H16" s="5" t="s">
        <v>29</v>
      </c>
      <c r="I16" s="5">
        <v>28.543724000000001</v>
      </c>
      <c r="J16" s="5">
        <v>77.046088999999995</v>
      </c>
      <c r="K16" s="5" t="s">
        <v>102</v>
      </c>
      <c r="L16" s="5"/>
      <c r="M16" s="5"/>
      <c r="N16" s="5"/>
      <c r="O16" s="5"/>
      <c r="P16" s="5" t="s">
        <v>350</v>
      </c>
      <c r="Q16" s="5"/>
      <c r="R16" s="5">
        <f t="shared" si="0"/>
        <v>345</v>
      </c>
      <c r="S16" s="5">
        <v>1</v>
      </c>
      <c r="T16" s="5">
        <v>30</v>
      </c>
      <c r="U16" s="5">
        <v>11.5</v>
      </c>
    </row>
    <row r="17" spans="1:21">
      <c r="A17" s="25"/>
      <c r="B17" s="26"/>
      <c r="C17" s="26"/>
      <c r="D17" s="25"/>
      <c r="E17" s="25"/>
      <c r="F17" s="25"/>
      <c r="G17" s="5" t="s">
        <v>347</v>
      </c>
      <c r="H17" s="5" t="s">
        <v>29</v>
      </c>
      <c r="I17" s="5">
        <v>28.543762000000001</v>
      </c>
      <c r="J17" s="5">
        <v>77.046036000000001</v>
      </c>
      <c r="K17" s="5" t="s">
        <v>305</v>
      </c>
      <c r="L17" s="5"/>
      <c r="M17" s="5"/>
      <c r="N17" s="5"/>
      <c r="O17" s="5"/>
      <c r="P17" s="5" t="s">
        <v>350</v>
      </c>
      <c r="Q17" s="5"/>
      <c r="R17" s="5">
        <f t="shared" si="0"/>
        <v>147</v>
      </c>
      <c r="S17" s="5">
        <v>1</v>
      </c>
      <c r="T17" s="5">
        <v>14</v>
      </c>
      <c r="U17" s="5">
        <v>10.5</v>
      </c>
    </row>
    <row r="18" spans="1:21">
      <c r="A18" s="25"/>
      <c r="B18" s="26"/>
      <c r="C18" s="26"/>
      <c r="D18" s="25"/>
      <c r="E18" s="25"/>
      <c r="F18" s="25"/>
      <c r="G18" s="5" t="s">
        <v>347</v>
      </c>
      <c r="H18" s="5" t="s">
        <v>29</v>
      </c>
      <c r="I18" s="5">
        <v>28.543638000000001</v>
      </c>
      <c r="J18" s="5">
        <v>77.046171000000001</v>
      </c>
      <c r="K18" s="5" t="s">
        <v>306</v>
      </c>
      <c r="L18" s="5"/>
      <c r="M18" s="5"/>
      <c r="N18" s="5"/>
      <c r="O18" s="5"/>
      <c r="P18" s="5" t="s">
        <v>350</v>
      </c>
      <c r="Q18" s="5"/>
      <c r="R18" s="5">
        <f t="shared" si="0"/>
        <v>342</v>
      </c>
      <c r="S18" s="5">
        <v>1</v>
      </c>
      <c r="T18" s="5">
        <v>38</v>
      </c>
      <c r="U18" s="5">
        <v>9</v>
      </c>
    </row>
    <row r="19" spans="1:21">
      <c r="A19" s="25"/>
      <c r="B19" s="26"/>
      <c r="C19" s="26"/>
      <c r="D19" s="25"/>
      <c r="E19" s="25"/>
      <c r="F19" s="25"/>
      <c r="G19" s="5" t="s">
        <v>347</v>
      </c>
      <c r="H19" s="5" t="s">
        <v>29</v>
      </c>
      <c r="I19" s="5">
        <v>28.543641999999998</v>
      </c>
      <c r="J19" s="5">
        <v>77.046177499999999</v>
      </c>
      <c r="K19" s="5" t="s">
        <v>351</v>
      </c>
      <c r="L19" s="5"/>
      <c r="M19" s="5"/>
      <c r="N19" s="5"/>
      <c r="O19" s="5"/>
      <c r="P19" s="5" t="s">
        <v>350</v>
      </c>
      <c r="Q19" s="5"/>
      <c r="R19" s="5">
        <f t="shared" si="0"/>
        <v>416</v>
      </c>
      <c r="S19" s="5">
        <v>1</v>
      </c>
      <c r="T19" s="5">
        <v>32</v>
      </c>
      <c r="U19" s="5">
        <v>13</v>
      </c>
    </row>
    <row r="20" spans="1:21">
      <c r="A20" s="25"/>
      <c r="B20" s="26"/>
      <c r="C20" s="26"/>
      <c r="D20" s="25"/>
      <c r="E20" s="25"/>
      <c r="F20" s="25"/>
      <c r="G20" s="5" t="s">
        <v>347</v>
      </c>
      <c r="H20" s="5" t="s">
        <v>29</v>
      </c>
      <c r="I20" s="5">
        <v>28.543637</v>
      </c>
      <c r="J20" s="5">
        <v>77.046238000000002</v>
      </c>
      <c r="K20" s="5" t="s">
        <v>352</v>
      </c>
      <c r="L20" s="5"/>
      <c r="M20" s="5"/>
      <c r="N20" s="5"/>
      <c r="O20" s="5"/>
      <c r="P20" s="5" t="s">
        <v>350</v>
      </c>
      <c r="Q20" s="5"/>
      <c r="R20" s="5">
        <f t="shared" si="0"/>
        <v>352.5</v>
      </c>
      <c r="S20" s="5">
        <v>1</v>
      </c>
      <c r="T20" s="5">
        <v>47</v>
      </c>
      <c r="U20" s="5">
        <v>7.5</v>
      </c>
    </row>
    <row r="21" spans="1:21">
      <c r="A21" s="25"/>
      <c r="B21" s="26"/>
      <c r="C21" s="26"/>
      <c r="D21" s="25"/>
      <c r="E21" s="25"/>
      <c r="F21" s="25"/>
      <c r="G21" s="5" t="s">
        <v>347</v>
      </c>
      <c r="H21" s="5" t="s">
        <v>29</v>
      </c>
      <c r="I21" s="5">
        <v>28.543552999999999</v>
      </c>
      <c r="J21" s="5">
        <v>77.046364999999994</v>
      </c>
      <c r="K21" s="5" t="s">
        <v>353</v>
      </c>
      <c r="L21" s="5"/>
      <c r="M21" s="5"/>
      <c r="N21" s="5"/>
      <c r="O21" s="5"/>
      <c r="P21" s="5" t="s">
        <v>350</v>
      </c>
      <c r="Q21" s="5"/>
      <c r="R21" s="5">
        <f t="shared" si="0"/>
        <v>255</v>
      </c>
      <c r="S21" s="5">
        <v>1</v>
      </c>
      <c r="T21" s="5">
        <v>34</v>
      </c>
      <c r="U21" s="5">
        <v>7.5</v>
      </c>
    </row>
    <row r="22" spans="1:21">
      <c r="A22" s="25">
        <v>3</v>
      </c>
      <c r="B22" s="26" t="s">
        <v>23</v>
      </c>
      <c r="C22" s="26" t="s">
        <v>354</v>
      </c>
      <c r="D22" s="25" t="s">
        <v>344</v>
      </c>
      <c r="E22" s="25" t="s">
        <v>345</v>
      </c>
      <c r="F22" s="25" t="s">
        <v>355</v>
      </c>
      <c r="G22" s="5" t="s">
        <v>347</v>
      </c>
      <c r="H22" s="5" t="s">
        <v>29</v>
      </c>
      <c r="I22" s="5">
        <v>28.707729</v>
      </c>
      <c r="J22" s="5">
        <v>77.095339999999993</v>
      </c>
      <c r="K22" s="5" t="s">
        <v>106</v>
      </c>
      <c r="L22" s="5" t="s">
        <v>36</v>
      </c>
      <c r="M22" s="5"/>
      <c r="N22" s="5"/>
      <c r="O22" s="5"/>
      <c r="P22" s="5" t="s">
        <v>356</v>
      </c>
      <c r="Q22" s="5"/>
      <c r="R22" s="5">
        <f t="shared" si="0"/>
        <v>496</v>
      </c>
      <c r="S22" s="5">
        <v>1</v>
      </c>
      <c r="T22" s="5">
        <v>31</v>
      </c>
      <c r="U22" s="5">
        <v>16</v>
      </c>
    </row>
    <row r="23" spans="1:21">
      <c r="A23" s="25"/>
      <c r="B23" s="26"/>
      <c r="C23" s="26"/>
      <c r="D23" s="25"/>
      <c r="E23" s="25"/>
      <c r="F23" s="2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f t="shared" si="0"/>
        <v>32</v>
      </c>
      <c r="S23" s="5">
        <v>2</v>
      </c>
      <c r="T23" s="5">
        <v>8</v>
      </c>
      <c r="U23" s="5">
        <v>2</v>
      </c>
    </row>
    <row r="24" spans="1:21">
      <c r="A24" s="25"/>
      <c r="B24" s="26"/>
      <c r="C24" s="26"/>
      <c r="D24" s="25"/>
      <c r="E24" s="25"/>
      <c r="F24" s="25"/>
      <c r="G24" s="5" t="s">
        <v>347</v>
      </c>
      <c r="H24" s="5" t="s">
        <v>29</v>
      </c>
      <c r="I24" s="5">
        <v>28.707698000000001</v>
      </c>
      <c r="J24" s="5">
        <v>77.095425000000006</v>
      </c>
      <c r="K24" s="5" t="s">
        <v>109</v>
      </c>
      <c r="L24" s="5" t="s">
        <v>36</v>
      </c>
      <c r="M24" s="5"/>
      <c r="N24" s="5"/>
      <c r="O24" s="5"/>
      <c r="P24" s="5" t="s">
        <v>356</v>
      </c>
      <c r="Q24" s="5"/>
      <c r="R24" s="5">
        <f t="shared" si="0"/>
        <v>132</v>
      </c>
      <c r="S24" s="5">
        <v>1</v>
      </c>
      <c r="T24" s="5">
        <v>12</v>
      </c>
      <c r="U24" s="5">
        <v>11</v>
      </c>
    </row>
    <row r="25" spans="1:21">
      <c r="A25" s="25"/>
      <c r="B25" s="26"/>
      <c r="C25" s="26"/>
      <c r="D25" s="25"/>
      <c r="E25" s="25"/>
      <c r="F25" s="25"/>
      <c r="G25" s="5" t="s">
        <v>347</v>
      </c>
      <c r="H25" s="5" t="s">
        <v>29</v>
      </c>
      <c r="I25" s="5">
        <v>28.707794</v>
      </c>
      <c r="J25" s="5">
        <v>77.095344999999995</v>
      </c>
      <c r="K25" s="5" t="s">
        <v>110</v>
      </c>
      <c r="L25" s="5"/>
      <c r="M25" s="5"/>
      <c r="N25" s="5"/>
      <c r="O25" s="5"/>
      <c r="P25" s="5" t="s">
        <v>356</v>
      </c>
      <c r="Q25" s="5"/>
      <c r="R25" s="5">
        <f t="shared" si="0"/>
        <v>660</v>
      </c>
      <c r="S25" s="5">
        <v>1</v>
      </c>
      <c r="T25" s="5">
        <v>55</v>
      </c>
      <c r="U25" s="5">
        <v>12</v>
      </c>
    </row>
    <row r="26" spans="1:21">
      <c r="A26" s="25"/>
      <c r="B26" s="26"/>
      <c r="C26" s="26"/>
      <c r="D26" s="25"/>
      <c r="E26" s="25"/>
      <c r="F26" s="25"/>
      <c r="G26" s="5"/>
      <c r="H26" s="5"/>
      <c r="I26" s="5"/>
      <c r="J26" s="5"/>
      <c r="K26" s="5" t="s">
        <v>311</v>
      </c>
      <c r="L26" s="5" t="s">
        <v>36</v>
      </c>
      <c r="M26" s="5"/>
      <c r="N26" s="5"/>
      <c r="O26" s="5"/>
      <c r="P26" s="5" t="s">
        <v>356</v>
      </c>
      <c r="Q26" s="5"/>
      <c r="R26" s="5">
        <f t="shared" si="0"/>
        <v>286</v>
      </c>
      <c r="S26" s="5">
        <v>1</v>
      </c>
      <c r="T26" s="5">
        <v>22</v>
      </c>
      <c r="U26" s="5">
        <v>13</v>
      </c>
    </row>
    <row r="27" spans="1:21">
      <c r="A27" s="25"/>
      <c r="B27" s="26"/>
      <c r="C27" s="26"/>
      <c r="D27" s="25"/>
      <c r="E27" s="25"/>
      <c r="F27" s="2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>
        <f t="shared" si="0"/>
        <v>36</v>
      </c>
      <c r="S27" s="5">
        <v>2</v>
      </c>
      <c r="T27" s="5">
        <v>9</v>
      </c>
      <c r="U27" s="5">
        <v>2</v>
      </c>
    </row>
    <row r="28" spans="1:21">
      <c r="A28" s="25"/>
      <c r="B28" s="26"/>
      <c r="C28" s="26"/>
      <c r="D28" s="25"/>
      <c r="E28" s="25"/>
      <c r="F28" s="2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f t="shared" si="0"/>
        <v>12</v>
      </c>
      <c r="S28" s="5">
        <v>1</v>
      </c>
      <c r="T28" s="5">
        <v>4</v>
      </c>
      <c r="U28" s="5">
        <v>3</v>
      </c>
    </row>
    <row r="29" spans="1:21">
      <c r="A29" s="25">
        <v>4</v>
      </c>
      <c r="B29" s="26" t="s">
        <v>23</v>
      </c>
      <c r="C29" s="26" t="s">
        <v>357</v>
      </c>
      <c r="D29" s="25" t="s">
        <v>344</v>
      </c>
      <c r="E29" s="25" t="s">
        <v>345</v>
      </c>
      <c r="F29" s="25" t="s">
        <v>358</v>
      </c>
      <c r="G29" s="5" t="s">
        <v>347</v>
      </c>
      <c r="H29" s="5" t="s">
        <v>29</v>
      </c>
      <c r="I29" s="5">
        <v>28.637847000000001</v>
      </c>
      <c r="J29" s="5">
        <v>77.141711000000001</v>
      </c>
      <c r="K29" s="5" t="s">
        <v>316</v>
      </c>
      <c r="L29" s="5" t="s">
        <v>36</v>
      </c>
      <c r="M29" s="5"/>
      <c r="N29" s="5"/>
      <c r="O29" s="5"/>
      <c r="P29" s="5" t="s">
        <v>359</v>
      </c>
      <c r="Q29" s="5"/>
      <c r="R29" s="5">
        <f t="shared" si="0"/>
        <v>214.5</v>
      </c>
      <c r="S29" s="5">
        <v>1</v>
      </c>
      <c r="T29" s="5">
        <v>19.5</v>
      </c>
      <c r="U29" s="5">
        <v>11</v>
      </c>
    </row>
    <row r="30" spans="1:21">
      <c r="A30" s="25"/>
      <c r="B30" s="26"/>
      <c r="C30" s="26"/>
      <c r="D30" s="25"/>
      <c r="E30" s="25"/>
      <c r="F30" s="2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f t="shared" si="0"/>
        <v>230</v>
      </c>
      <c r="S30" s="5">
        <v>1</v>
      </c>
      <c r="T30" s="5">
        <v>23</v>
      </c>
      <c r="U30" s="5">
        <v>10</v>
      </c>
    </row>
    <row r="31" spans="1:21">
      <c r="A31" s="25"/>
      <c r="B31" s="26"/>
      <c r="C31" s="26"/>
      <c r="D31" s="25"/>
      <c r="E31" s="25"/>
      <c r="F31" s="2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f t="shared" si="0"/>
        <v>42.5</v>
      </c>
      <c r="S31" s="5">
        <v>2</v>
      </c>
      <c r="T31" s="5">
        <v>8.5</v>
      </c>
      <c r="U31" s="5">
        <v>2.5</v>
      </c>
    </row>
    <row r="32" spans="1:21">
      <c r="A32" s="25">
        <v>5</v>
      </c>
      <c r="B32" s="26" t="s">
        <v>23</v>
      </c>
      <c r="C32" s="26" t="s">
        <v>360</v>
      </c>
      <c r="D32" s="25" t="s">
        <v>344</v>
      </c>
      <c r="E32" s="25" t="s">
        <v>345</v>
      </c>
      <c r="F32" s="25" t="s">
        <v>361</v>
      </c>
      <c r="G32" s="5" t="s">
        <v>347</v>
      </c>
      <c r="H32" s="5" t="s">
        <v>29</v>
      </c>
      <c r="I32" s="5">
        <v>28.600051000000001</v>
      </c>
      <c r="J32" s="5">
        <v>76.914720000000003</v>
      </c>
      <c r="K32" s="5" t="s">
        <v>326</v>
      </c>
      <c r="L32" s="5"/>
      <c r="M32" s="5"/>
      <c r="N32" s="5"/>
      <c r="O32" s="5"/>
      <c r="P32" s="5" t="s">
        <v>362</v>
      </c>
      <c r="Q32" s="5"/>
      <c r="R32" s="5">
        <f t="shared" si="0"/>
        <v>336</v>
      </c>
      <c r="S32" s="5">
        <v>1</v>
      </c>
      <c r="T32" s="5">
        <v>28</v>
      </c>
      <c r="U32" s="5">
        <v>12</v>
      </c>
    </row>
    <row r="33" spans="1:21">
      <c r="A33" s="25"/>
      <c r="B33" s="26"/>
      <c r="C33" s="26"/>
      <c r="D33" s="25"/>
      <c r="E33" s="25"/>
      <c r="F33" s="25"/>
      <c r="G33" s="5" t="s">
        <v>347</v>
      </c>
      <c r="H33" s="5" t="s">
        <v>29</v>
      </c>
      <c r="I33" s="5">
        <v>28.600052999999999</v>
      </c>
      <c r="J33" s="5">
        <v>76.914697000000004</v>
      </c>
      <c r="K33" s="5" t="s">
        <v>328</v>
      </c>
      <c r="L33" s="5" t="s">
        <v>36</v>
      </c>
      <c r="M33" s="5"/>
      <c r="N33" s="5"/>
      <c r="O33" s="5"/>
      <c r="P33" s="5" t="s">
        <v>362</v>
      </c>
      <c r="Q33" s="5"/>
      <c r="R33" s="5">
        <f t="shared" si="0"/>
        <v>286</v>
      </c>
      <c r="S33" s="5">
        <v>1</v>
      </c>
      <c r="T33" s="5">
        <v>26</v>
      </c>
      <c r="U33" s="5">
        <v>11</v>
      </c>
    </row>
    <row r="34" spans="1:21">
      <c r="A34" s="25"/>
      <c r="B34" s="26"/>
      <c r="C34" s="26"/>
      <c r="D34" s="25"/>
      <c r="E34" s="25"/>
      <c r="F34" s="2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f t="shared" si="0"/>
        <v>15</v>
      </c>
      <c r="S34" s="5">
        <v>1</v>
      </c>
      <c r="T34" s="5">
        <v>7.5</v>
      </c>
      <c r="U34" s="5">
        <v>2</v>
      </c>
    </row>
    <row r="35" spans="1:21">
      <c r="A35" s="25"/>
      <c r="B35" s="26"/>
      <c r="C35" s="26"/>
      <c r="D35" s="25"/>
      <c r="E35" s="25"/>
      <c r="F35" s="25"/>
      <c r="G35" s="5" t="s">
        <v>347</v>
      </c>
      <c r="H35" s="5" t="s">
        <v>29</v>
      </c>
      <c r="I35" s="5">
        <v>28.600058000000001</v>
      </c>
      <c r="J35" s="5">
        <v>76.914676999999998</v>
      </c>
      <c r="K35" s="5" t="s">
        <v>329</v>
      </c>
      <c r="L35" s="5"/>
      <c r="M35" s="5"/>
      <c r="N35" s="5"/>
      <c r="O35" s="5"/>
      <c r="P35" s="5" t="s">
        <v>362</v>
      </c>
      <c r="Q35" s="5"/>
      <c r="R35" s="5">
        <f t="shared" si="0"/>
        <v>318</v>
      </c>
      <c r="S35" s="5">
        <v>1</v>
      </c>
      <c r="T35" s="5">
        <v>26.5</v>
      </c>
      <c r="U35" s="5">
        <v>12</v>
      </c>
    </row>
    <row r="36" spans="1:21">
      <c r="A36" s="25"/>
      <c r="B36" s="26"/>
      <c r="C36" s="26"/>
      <c r="D36" s="25"/>
      <c r="E36" s="25"/>
      <c r="F36" s="25"/>
      <c r="G36" s="5" t="s">
        <v>347</v>
      </c>
      <c r="H36" s="5" t="s">
        <v>29</v>
      </c>
      <c r="I36" s="5">
        <v>28.600062000000001</v>
      </c>
      <c r="J36" s="5">
        <v>76.914642000000001</v>
      </c>
      <c r="K36" s="5" t="s">
        <v>331</v>
      </c>
      <c r="L36" s="5"/>
      <c r="M36" s="5"/>
      <c r="N36" s="5"/>
      <c r="O36" s="5"/>
      <c r="P36" s="5" t="s">
        <v>362</v>
      </c>
      <c r="Q36" s="5"/>
      <c r="R36" s="5">
        <f t="shared" si="0"/>
        <v>318</v>
      </c>
      <c r="S36" s="5">
        <v>1</v>
      </c>
      <c r="T36" s="5">
        <v>26.5</v>
      </c>
      <c r="U36" s="5">
        <v>12</v>
      </c>
    </row>
    <row r="37" spans="1:21">
      <c r="A37" s="25"/>
      <c r="B37" s="26"/>
      <c r="C37" s="26"/>
      <c r="D37" s="25"/>
      <c r="E37" s="25"/>
      <c r="F37" s="25"/>
      <c r="G37" s="5" t="s">
        <v>347</v>
      </c>
      <c r="H37" s="5" t="s">
        <v>29</v>
      </c>
      <c r="I37" s="5">
        <v>28.599979999999999</v>
      </c>
      <c r="J37" s="5">
        <v>76.914663000000004</v>
      </c>
      <c r="K37" s="5" t="s">
        <v>332</v>
      </c>
      <c r="L37" s="5"/>
      <c r="M37" s="5"/>
      <c r="N37" s="5"/>
      <c r="O37" s="5"/>
      <c r="P37" s="5" t="s">
        <v>362</v>
      </c>
      <c r="Q37" s="5"/>
      <c r="R37" s="5">
        <f t="shared" si="0"/>
        <v>45</v>
      </c>
      <c r="S37" s="5">
        <v>1</v>
      </c>
      <c r="T37" s="5">
        <v>15</v>
      </c>
      <c r="U37" s="5">
        <v>3</v>
      </c>
    </row>
    <row r="38" spans="1:21">
      <c r="A38" s="25"/>
      <c r="B38" s="26"/>
      <c r="C38" s="26"/>
      <c r="D38" s="25"/>
      <c r="E38" s="25"/>
      <c r="F38" s="25"/>
      <c r="G38" s="5" t="s">
        <v>347</v>
      </c>
      <c r="H38" s="5" t="s">
        <v>29</v>
      </c>
      <c r="I38" s="5">
        <v>28.599996999999998</v>
      </c>
      <c r="J38" s="5">
        <v>76.914634000000007</v>
      </c>
      <c r="K38" s="5" t="s">
        <v>333</v>
      </c>
      <c r="L38" s="5"/>
      <c r="M38" s="5"/>
      <c r="N38" s="5"/>
      <c r="O38" s="5"/>
      <c r="P38" s="5" t="s">
        <v>362</v>
      </c>
      <c r="Q38" s="5"/>
      <c r="R38" s="5">
        <f t="shared" si="0"/>
        <v>301</v>
      </c>
      <c r="S38" s="5">
        <v>1</v>
      </c>
      <c r="T38" s="5">
        <v>43</v>
      </c>
      <c r="U38" s="5">
        <v>7</v>
      </c>
    </row>
    <row r="39" spans="1:21">
      <c r="A39" s="25"/>
      <c r="B39" s="26"/>
      <c r="C39" s="26"/>
      <c r="D39" s="25"/>
      <c r="E39" s="25"/>
      <c r="F39" s="25"/>
      <c r="G39" s="5" t="s">
        <v>347</v>
      </c>
      <c r="H39" s="5" t="s">
        <v>29</v>
      </c>
      <c r="I39" s="5">
        <v>28.600027000000001</v>
      </c>
      <c r="J39" s="5">
        <v>76.914689999999993</v>
      </c>
      <c r="K39" s="5" t="s">
        <v>334</v>
      </c>
      <c r="L39" s="5"/>
      <c r="M39" s="5"/>
      <c r="N39" s="5"/>
      <c r="O39" s="5"/>
      <c r="P39" s="5" t="s">
        <v>362</v>
      </c>
      <c r="Q39" s="5"/>
      <c r="R39" s="5">
        <f t="shared" si="0"/>
        <v>159.5</v>
      </c>
      <c r="S39" s="5">
        <v>1</v>
      </c>
      <c r="T39" s="5">
        <v>14.5</v>
      </c>
      <c r="U39" s="5">
        <v>11</v>
      </c>
    </row>
    <row r="40" spans="1:21">
      <c r="A40" s="25"/>
      <c r="B40" s="26"/>
      <c r="C40" s="26"/>
      <c r="D40" s="25"/>
      <c r="E40" s="25"/>
      <c r="F40" s="25"/>
      <c r="G40" s="5" t="s">
        <v>347</v>
      </c>
      <c r="H40" s="5" t="s">
        <v>29</v>
      </c>
      <c r="I40" s="5">
        <v>28.600033</v>
      </c>
      <c r="J40" s="5">
        <v>76.914697000000004</v>
      </c>
      <c r="K40" s="5" t="s">
        <v>335</v>
      </c>
      <c r="L40" s="5"/>
      <c r="M40" s="5"/>
      <c r="N40" s="5"/>
      <c r="O40" s="5"/>
      <c r="P40" s="5" t="s">
        <v>362</v>
      </c>
      <c r="Q40" s="5"/>
      <c r="R40" s="5">
        <f t="shared" si="0"/>
        <v>110</v>
      </c>
      <c r="S40" s="5">
        <v>1</v>
      </c>
      <c r="T40" s="5">
        <v>10</v>
      </c>
      <c r="U40" s="5">
        <v>11</v>
      </c>
    </row>
    <row r="41" spans="1:21">
      <c r="A41" s="25"/>
      <c r="B41" s="26"/>
      <c r="C41" s="26"/>
      <c r="D41" s="25"/>
      <c r="E41" s="25"/>
      <c r="F41" s="2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f t="shared" si="0"/>
        <v>17.5</v>
      </c>
      <c r="S41" s="5">
        <v>1</v>
      </c>
      <c r="T41" s="5">
        <v>2.5</v>
      </c>
      <c r="U41" s="5">
        <v>7</v>
      </c>
    </row>
    <row r="42" spans="1:21">
      <c r="A42" s="25"/>
      <c r="B42" s="26"/>
      <c r="C42" s="26"/>
      <c r="D42" s="25"/>
      <c r="E42" s="25"/>
      <c r="F42" s="25"/>
      <c r="G42" s="5" t="s">
        <v>347</v>
      </c>
      <c r="H42" s="5" t="s">
        <v>29</v>
      </c>
      <c r="I42" s="5">
        <v>28.600033</v>
      </c>
      <c r="J42" s="5">
        <v>76.914697000000004</v>
      </c>
      <c r="K42" s="5" t="s">
        <v>337</v>
      </c>
      <c r="L42" s="5"/>
      <c r="M42" s="5"/>
      <c r="N42" s="5"/>
      <c r="O42" s="5"/>
      <c r="P42" s="5" t="s">
        <v>362</v>
      </c>
      <c r="Q42" s="5"/>
      <c r="R42" s="5">
        <f t="shared" si="0"/>
        <v>159.5</v>
      </c>
      <c r="S42" s="5">
        <v>1</v>
      </c>
      <c r="T42" s="5">
        <v>14.5</v>
      </c>
      <c r="U42" s="5">
        <v>11</v>
      </c>
    </row>
    <row r="43" spans="1:21">
      <c r="A43" s="25">
        <v>6</v>
      </c>
      <c r="B43" s="26" t="s">
        <v>23</v>
      </c>
      <c r="C43" s="26" t="s">
        <v>363</v>
      </c>
      <c r="D43" s="25" t="s">
        <v>344</v>
      </c>
      <c r="E43" s="25" t="s">
        <v>345</v>
      </c>
      <c r="F43" s="25" t="s">
        <v>364</v>
      </c>
      <c r="G43" s="5" t="s">
        <v>347</v>
      </c>
      <c r="H43" s="5" t="s">
        <v>29</v>
      </c>
      <c r="I43" s="5">
        <v>28.602526999999998</v>
      </c>
      <c r="J43" s="5">
        <v>76.970048000000006</v>
      </c>
      <c r="K43" s="5" t="s">
        <v>365</v>
      </c>
      <c r="L43" s="5"/>
      <c r="M43" s="5"/>
      <c r="N43" s="5"/>
      <c r="O43" s="5"/>
      <c r="P43" s="5" t="s">
        <v>366</v>
      </c>
      <c r="Q43" s="5"/>
      <c r="R43" s="5">
        <f t="shared" si="0"/>
        <v>290</v>
      </c>
      <c r="S43" s="5">
        <v>1</v>
      </c>
      <c r="T43" s="5">
        <v>29</v>
      </c>
      <c r="U43" s="5">
        <v>10</v>
      </c>
    </row>
    <row r="44" spans="1:21">
      <c r="A44" s="25"/>
      <c r="B44" s="26"/>
      <c r="C44" s="26"/>
      <c r="D44" s="25"/>
      <c r="E44" s="25"/>
      <c r="F44" s="25"/>
      <c r="G44" s="5" t="s">
        <v>347</v>
      </c>
      <c r="H44" s="5" t="s">
        <v>29</v>
      </c>
      <c r="I44" s="5">
        <v>28.602547000000001</v>
      </c>
      <c r="J44" s="5">
        <v>76.970022</v>
      </c>
      <c r="K44" s="5" t="s">
        <v>367</v>
      </c>
      <c r="L44" s="5"/>
      <c r="M44" s="5"/>
      <c r="N44" s="5"/>
      <c r="O44" s="5"/>
      <c r="P44" s="5" t="s">
        <v>366</v>
      </c>
      <c r="Q44" s="5"/>
      <c r="R44" s="5">
        <f t="shared" si="0"/>
        <v>312</v>
      </c>
      <c r="S44" s="5">
        <v>1</v>
      </c>
      <c r="T44" s="5">
        <v>24</v>
      </c>
      <c r="U44" s="5">
        <v>13</v>
      </c>
    </row>
    <row r="45" spans="1:21">
      <c r="A45" s="25"/>
      <c r="B45" s="26"/>
      <c r="C45" s="26"/>
      <c r="D45" s="25"/>
      <c r="E45" s="25"/>
      <c r="F45" s="25"/>
      <c r="G45" s="5" t="s">
        <v>347</v>
      </c>
      <c r="H45" s="5" t="s">
        <v>29</v>
      </c>
      <c r="I45" s="5">
        <v>28.602571999999999</v>
      </c>
      <c r="J45" s="5">
        <v>76.969666000000004</v>
      </c>
      <c r="K45" s="5" t="s">
        <v>368</v>
      </c>
      <c r="L45" s="5"/>
      <c r="M45" s="5"/>
      <c r="N45" s="5"/>
      <c r="O45" s="5"/>
      <c r="P45" s="5" t="s">
        <v>366</v>
      </c>
      <c r="Q45" s="5"/>
      <c r="R45" s="5">
        <f t="shared" si="0"/>
        <v>768</v>
      </c>
      <c r="S45" s="5">
        <v>1</v>
      </c>
      <c r="T45" s="5">
        <v>64</v>
      </c>
      <c r="U45" s="5">
        <v>12</v>
      </c>
    </row>
    <row r="46" spans="1:21">
      <c r="A46" s="25"/>
      <c r="B46" s="26"/>
      <c r="C46" s="26"/>
      <c r="D46" s="25"/>
      <c r="E46" s="25"/>
      <c r="F46" s="25"/>
      <c r="G46" s="5" t="s">
        <v>347</v>
      </c>
      <c r="H46" s="5" t="s">
        <v>29</v>
      </c>
      <c r="I46" s="5">
        <v>28.602557000000001</v>
      </c>
      <c r="J46" s="5">
        <v>76.969795000000005</v>
      </c>
      <c r="K46" s="5" t="s">
        <v>369</v>
      </c>
      <c r="L46" s="5"/>
      <c r="M46" s="5"/>
      <c r="N46" s="5"/>
      <c r="O46" s="5"/>
      <c r="P46" s="5" t="s">
        <v>366</v>
      </c>
      <c r="Q46" s="5"/>
      <c r="R46" s="5">
        <f t="shared" si="0"/>
        <v>364</v>
      </c>
      <c r="S46" s="5">
        <v>1</v>
      </c>
      <c r="T46" s="5">
        <v>26</v>
      </c>
      <c r="U46" s="5">
        <v>14</v>
      </c>
    </row>
    <row r="47" spans="1:21">
      <c r="A47" s="25"/>
      <c r="B47" s="26"/>
      <c r="C47" s="26"/>
      <c r="D47" s="25"/>
      <c r="E47" s="25"/>
      <c r="F47" s="25"/>
      <c r="G47" s="5" t="s">
        <v>347</v>
      </c>
      <c r="H47" s="5" t="s">
        <v>29</v>
      </c>
      <c r="I47" s="5">
        <v>28.602512000000001</v>
      </c>
      <c r="J47" s="5">
        <v>76.970088000000004</v>
      </c>
      <c r="K47" s="5" t="s">
        <v>370</v>
      </c>
      <c r="L47" s="5" t="s">
        <v>36</v>
      </c>
      <c r="M47" s="5"/>
      <c r="N47" s="5"/>
      <c r="O47" s="5"/>
      <c r="P47" s="5" t="s">
        <v>366</v>
      </c>
      <c r="Q47" s="5"/>
      <c r="R47" s="5">
        <f t="shared" si="0"/>
        <v>325</v>
      </c>
      <c r="S47" s="5">
        <v>1</v>
      </c>
      <c r="T47" s="5">
        <v>25</v>
      </c>
      <c r="U47" s="5">
        <v>13</v>
      </c>
    </row>
    <row r="48" spans="1:21">
      <c r="A48" s="25"/>
      <c r="B48" s="26"/>
      <c r="C48" s="26"/>
      <c r="D48" s="25"/>
      <c r="E48" s="25"/>
      <c r="F48" s="25"/>
      <c r="G48" s="5" t="s">
        <v>347</v>
      </c>
      <c r="H48" s="5" t="s">
        <v>29</v>
      </c>
      <c r="I48" s="5">
        <v>28.602525</v>
      </c>
      <c r="J48" s="5">
        <v>76.969932</v>
      </c>
      <c r="K48" s="5" t="s">
        <v>371</v>
      </c>
      <c r="L48" s="5"/>
      <c r="M48" s="5"/>
      <c r="N48" s="5"/>
      <c r="O48" s="5"/>
      <c r="P48" s="5" t="s">
        <v>366</v>
      </c>
      <c r="Q48" s="5"/>
      <c r="R48" s="5">
        <f t="shared" si="0"/>
        <v>154</v>
      </c>
      <c r="S48" s="5">
        <v>1</v>
      </c>
      <c r="T48" s="5">
        <v>14</v>
      </c>
      <c r="U48" s="5">
        <v>11</v>
      </c>
    </row>
    <row r="49" spans="1:24">
      <c r="A49" s="25">
        <v>7</v>
      </c>
      <c r="B49" s="26" t="s">
        <v>23</v>
      </c>
      <c r="C49" s="26" t="s">
        <v>372</v>
      </c>
      <c r="D49" s="25" t="s">
        <v>344</v>
      </c>
      <c r="E49" s="25" t="s">
        <v>345</v>
      </c>
      <c r="F49" s="25" t="s">
        <v>373</v>
      </c>
      <c r="G49" s="5" t="s">
        <v>347</v>
      </c>
      <c r="H49" s="5" t="s">
        <v>29</v>
      </c>
      <c r="I49" s="5">
        <v>28.647584999999999</v>
      </c>
      <c r="J49" s="5">
        <v>76.958494999999999</v>
      </c>
      <c r="K49" s="5" t="s">
        <v>374</v>
      </c>
      <c r="L49" s="5"/>
      <c r="M49" s="5"/>
      <c r="N49" s="5"/>
      <c r="O49" s="5"/>
      <c r="P49" s="5" t="s">
        <v>366</v>
      </c>
      <c r="Q49" s="5"/>
      <c r="R49" s="5">
        <f t="shared" si="0"/>
        <v>138.75</v>
      </c>
      <c r="S49" s="5">
        <v>1</v>
      </c>
      <c r="T49" s="5">
        <v>18.5</v>
      </c>
      <c r="U49" s="5">
        <v>7.5</v>
      </c>
    </row>
    <row r="50" spans="1:24">
      <c r="A50" s="25"/>
      <c r="B50" s="26"/>
      <c r="C50" s="26"/>
      <c r="D50" s="25"/>
      <c r="E50" s="25"/>
      <c r="F50" s="25"/>
      <c r="G50" s="5" t="s">
        <v>347</v>
      </c>
      <c r="H50" s="5" t="s">
        <v>29</v>
      </c>
      <c r="I50" s="5">
        <v>28.647589</v>
      </c>
      <c r="J50" s="5">
        <v>76.958627000000007</v>
      </c>
      <c r="K50" s="5" t="s">
        <v>375</v>
      </c>
      <c r="L50" s="5"/>
      <c r="M50" s="5"/>
      <c r="N50" s="5"/>
      <c r="O50" s="5"/>
      <c r="P50" s="5" t="s">
        <v>366</v>
      </c>
      <c r="Q50" s="5"/>
      <c r="R50" s="5">
        <f t="shared" si="0"/>
        <v>150</v>
      </c>
      <c r="S50" s="5">
        <v>1</v>
      </c>
      <c r="T50" s="5">
        <v>150</v>
      </c>
      <c r="U50" s="5">
        <v>1</v>
      </c>
    </row>
    <row r="51" spans="1:24">
      <c r="A51" s="25">
        <v>8</v>
      </c>
      <c r="B51" s="26" t="s">
        <v>23</v>
      </c>
      <c r="C51" s="26" t="s">
        <v>376</v>
      </c>
      <c r="D51" s="25" t="s">
        <v>344</v>
      </c>
      <c r="E51" s="25" t="s">
        <v>347</v>
      </c>
      <c r="F51" s="25" t="s">
        <v>377</v>
      </c>
      <c r="G51" s="5" t="s">
        <v>347</v>
      </c>
      <c r="H51" s="5" t="s">
        <v>29</v>
      </c>
      <c r="I51" s="5">
        <v>28.511032</v>
      </c>
      <c r="J51" s="5">
        <v>77.177194999999998</v>
      </c>
      <c r="K51" s="5" t="s">
        <v>95</v>
      </c>
      <c r="L51" s="5"/>
      <c r="M51" s="5"/>
      <c r="N51" s="5"/>
      <c r="O51" s="5"/>
      <c r="P51" s="5" t="s">
        <v>378</v>
      </c>
      <c r="Q51" s="5"/>
      <c r="R51" s="5">
        <f t="shared" si="0"/>
        <v>289</v>
      </c>
      <c r="S51" s="5">
        <v>1</v>
      </c>
      <c r="T51" s="5">
        <v>17</v>
      </c>
      <c r="U51" s="5">
        <v>17</v>
      </c>
    </row>
    <row r="52" spans="1:24">
      <c r="A52" s="25"/>
      <c r="B52" s="26"/>
      <c r="C52" s="26"/>
      <c r="D52" s="25"/>
      <c r="E52" s="25"/>
      <c r="F52" s="2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f t="shared" si="0"/>
        <v>40</v>
      </c>
      <c r="S52" s="5">
        <v>1</v>
      </c>
      <c r="T52" s="5">
        <v>4</v>
      </c>
      <c r="U52" s="5">
        <v>10</v>
      </c>
    </row>
    <row r="53" spans="1:24">
      <c r="A53" s="25"/>
      <c r="B53" s="26"/>
      <c r="C53" s="26"/>
      <c r="D53" s="25"/>
      <c r="E53" s="25"/>
      <c r="F53" s="2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f t="shared" si="0"/>
        <v>25</v>
      </c>
      <c r="S53" s="5">
        <v>1</v>
      </c>
      <c r="T53" s="5">
        <v>5</v>
      </c>
      <c r="U53" s="5">
        <v>5</v>
      </c>
    </row>
    <row r="54" spans="1:24">
      <c r="A54" s="25"/>
      <c r="B54" s="26"/>
      <c r="C54" s="26"/>
      <c r="D54" s="25"/>
      <c r="E54" s="25"/>
      <c r="F54" s="25"/>
      <c r="G54" s="5" t="s">
        <v>347</v>
      </c>
      <c r="H54" s="5" t="s">
        <v>29</v>
      </c>
      <c r="I54" s="5">
        <v>28.510964999999999</v>
      </c>
      <c r="J54" s="5">
        <v>77.177189999999996</v>
      </c>
      <c r="K54" s="5" t="s">
        <v>97</v>
      </c>
      <c r="L54" s="5"/>
      <c r="M54" s="5"/>
      <c r="N54" s="5"/>
      <c r="O54" s="5"/>
      <c r="P54" s="5" t="s">
        <v>378</v>
      </c>
      <c r="Q54" s="5"/>
      <c r="R54" s="5">
        <f t="shared" si="0"/>
        <v>629</v>
      </c>
      <c r="S54" s="5">
        <v>1</v>
      </c>
      <c r="T54" s="5">
        <v>37</v>
      </c>
      <c r="U54" s="5">
        <v>17</v>
      </c>
    </row>
    <row r="55" spans="1:24">
      <c r="A55" s="25"/>
      <c r="B55" s="26"/>
      <c r="C55" s="26"/>
      <c r="D55" s="25"/>
      <c r="E55" s="25"/>
      <c r="F55" s="25"/>
      <c r="G55" s="5" t="s">
        <v>347</v>
      </c>
      <c r="H55" s="5" t="s">
        <v>29</v>
      </c>
      <c r="I55" s="5">
        <v>28.511087</v>
      </c>
      <c r="J55" s="5">
        <v>77.177255000000002</v>
      </c>
      <c r="K55" s="5" t="s">
        <v>291</v>
      </c>
      <c r="L55" s="5"/>
      <c r="M55" s="5"/>
      <c r="N55" s="5"/>
      <c r="O55" s="5"/>
      <c r="P55" s="5" t="s">
        <v>378</v>
      </c>
      <c r="Q55" s="5"/>
      <c r="R55" s="5">
        <f t="shared" si="0"/>
        <v>510</v>
      </c>
      <c r="S55" s="5">
        <v>1</v>
      </c>
      <c r="T55" s="5">
        <v>60</v>
      </c>
      <c r="U55" s="5">
        <v>8.5</v>
      </c>
    </row>
    <row r="56" spans="1:24">
      <c r="A56" s="25"/>
      <c r="B56" s="26"/>
      <c r="C56" s="26"/>
      <c r="D56" s="25"/>
      <c r="E56" s="25"/>
      <c r="F56" s="25"/>
      <c r="G56" s="5" t="s">
        <v>347</v>
      </c>
      <c r="H56" s="5" t="s">
        <v>29</v>
      </c>
      <c r="I56" s="5">
        <v>28.511023999999999</v>
      </c>
      <c r="J56" s="5">
        <v>77.177104</v>
      </c>
      <c r="K56" s="5" t="s">
        <v>292</v>
      </c>
      <c r="L56" s="5"/>
      <c r="M56" s="5"/>
      <c r="N56" s="5"/>
      <c r="O56" s="5"/>
      <c r="P56" s="5" t="s">
        <v>378</v>
      </c>
      <c r="Q56" s="5"/>
      <c r="R56" s="5">
        <f>S56*T56*U56</f>
        <v>140</v>
      </c>
      <c r="S56" s="5">
        <v>1</v>
      </c>
      <c r="T56" s="5">
        <v>20</v>
      </c>
      <c r="U56" s="5">
        <v>7</v>
      </c>
    </row>
    <row r="57" spans="1:24" ht="14.1">
      <c r="A57" s="5"/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4" ht="14.1">
      <c r="A58" s="10"/>
      <c r="B58" s="10"/>
      <c r="C58" s="2"/>
      <c r="D58" s="10"/>
      <c r="E58" s="10"/>
      <c r="F58" s="5"/>
      <c r="G58" s="10"/>
      <c r="H58" s="10"/>
      <c r="I58" s="10"/>
      <c r="J58" s="29" t="s">
        <v>339</v>
      </c>
      <c r="K58" s="29"/>
      <c r="L58" s="29"/>
      <c r="M58" s="29"/>
      <c r="N58" s="2"/>
      <c r="O58" s="2"/>
      <c r="P58" s="2"/>
      <c r="Q58" s="2"/>
      <c r="R58" s="11">
        <f>SUM(R3:R57)</f>
        <v>12784.75</v>
      </c>
      <c r="S58" s="2"/>
      <c r="T58" s="2"/>
      <c r="U58" s="5"/>
    </row>
    <row r="59" spans="1:24" ht="14.1">
      <c r="A59" s="12"/>
      <c r="B59" s="12"/>
      <c r="C59" s="13"/>
      <c r="D59" s="12"/>
      <c r="E59" s="12"/>
      <c r="F59" s="12"/>
      <c r="G59" s="12"/>
      <c r="H59" s="12"/>
      <c r="I59" s="12"/>
      <c r="J59" s="13"/>
      <c r="K59" s="13"/>
      <c r="L59" s="13"/>
      <c r="M59" s="13"/>
      <c r="N59" s="12"/>
      <c r="O59" s="12"/>
      <c r="P59" s="12"/>
      <c r="Q59" s="12"/>
      <c r="R59" s="12"/>
      <c r="S59" s="12"/>
      <c r="T59" s="12"/>
      <c r="U59" s="3"/>
    </row>
    <row r="60" spans="1:24" ht="14.1">
      <c r="A60" s="12"/>
      <c r="B60" s="12"/>
      <c r="C60" s="13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3"/>
    </row>
    <row r="61" spans="1:24" ht="14.1">
      <c r="A61" s="12"/>
      <c r="B61" s="12"/>
      <c r="C61" s="13"/>
      <c r="D61" s="12"/>
      <c r="E61" s="12"/>
      <c r="F61" s="12"/>
      <c r="G61" s="12"/>
      <c r="H61" s="12"/>
      <c r="I61" s="12"/>
      <c r="J61" s="30" t="s">
        <v>340</v>
      </c>
      <c r="K61" s="30"/>
      <c r="L61" s="30"/>
      <c r="M61" s="12"/>
      <c r="N61" s="12"/>
      <c r="O61" s="12"/>
      <c r="P61" s="12"/>
      <c r="Q61" s="12"/>
      <c r="R61" s="20">
        <f>R58</f>
        <v>12784.75</v>
      </c>
      <c r="S61" s="12"/>
      <c r="T61" s="12"/>
      <c r="U61" s="3"/>
      <c r="X61" s="19"/>
    </row>
    <row r="62" spans="1:24" ht="14.1">
      <c r="A62" s="14"/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6"/>
      <c r="Q62" s="14"/>
      <c r="R62" s="14"/>
      <c r="S62" s="14"/>
      <c r="T62" s="14"/>
    </row>
  </sheetData>
  <mergeCells count="52">
    <mergeCell ref="J58:M58"/>
    <mergeCell ref="J61:L61"/>
    <mergeCell ref="A51:A56"/>
    <mergeCell ref="B51:B56"/>
    <mergeCell ref="C51:C56"/>
    <mergeCell ref="D51:D56"/>
    <mergeCell ref="E51:E56"/>
    <mergeCell ref="F51:F56"/>
    <mergeCell ref="F49:F50"/>
    <mergeCell ref="A43:A48"/>
    <mergeCell ref="B43:B48"/>
    <mergeCell ref="C43:C48"/>
    <mergeCell ref="D43:D48"/>
    <mergeCell ref="E43:E48"/>
    <mergeCell ref="F43:F48"/>
    <mergeCell ref="A49:A50"/>
    <mergeCell ref="B49:B50"/>
    <mergeCell ref="C49:C50"/>
    <mergeCell ref="D49:D50"/>
    <mergeCell ref="E49:E50"/>
    <mergeCell ref="F32:F42"/>
    <mergeCell ref="A29:A31"/>
    <mergeCell ref="B29:B31"/>
    <mergeCell ref="C29:C31"/>
    <mergeCell ref="D29:D31"/>
    <mergeCell ref="E29:E31"/>
    <mergeCell ref="F29:F31"/>
    <mergeCell ref="A32:A42"/>
    <mergeCell ref="B32:B42"/>
    <mergeCell ref="C32:C42"/>
    <mergeCell ref="D32:D42"/>
    <mergeCell ref="E32:E42"/>
    <mergeCell ref="F22:F28"/>
    <mergeCell ref="A15:A21"/>
    <mergeCell ref="B15:B21"/>
    <mergeCell ref="C15:C21"/>
    <mergeCell ref="D15:D21"/>
    <mergeCell ref="E15:E21"/>
    <mergeCell ref="F15:F21"/>
    <mergeCell ref="A22:A28"/>
    <mergeCell ref="B22:B28"/>
    <mergeCell ref="C22:C28"/>
    <mergeCell ref="D22:D28"/>
    <mergeCell ref="E22:E28"/>
    <mergeCell ref="A1:S1"/>
    <mergeCell ref="T1:U1"/>
    <mergeCell ref="A3:A14"/>
    <mergeCell ref="B3:B14"/>
    <mergeCell ref="C3:C14"/>
    <mergeCell ref="D3:D14"/>
    <mergeCell ref="E3:E14"/>
    <mergeCell ref="F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>1366</cp:revision>
  <dcterms:created xsi:type="dcterms:W3CDTF">2024-05-14T05:31:50Z</dcterms:created>
  <dcterms:modified xsi:type="dcterms:W3CDTF">2026-03-20T13:28:56Z</dcterms:modified>
  <cp:category/>
  <cp:contentStatus/>
</cp:coreProperties>
</file>