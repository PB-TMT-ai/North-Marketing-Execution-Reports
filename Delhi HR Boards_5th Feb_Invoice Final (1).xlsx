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Dec - Mar 26/GSB/"/>
    </mc:Choice>
  </mc:AlternateContent>
  <xr:revisionPtr revIDLastSave="0" documentId="13_ncr:1_{9C8A1A55-1487-DD42-81F7-CE7CD5B34D76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Sheet1" sheetId="1" r:id="rId1"/>
  </sheets>
  <definedNames>
    <definedName name="_xlnm._FilterDatabase" localSheetId="0" hidden="1">Sheet1!$A$1:$M$52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J13" i="1"/>
  <c r="J40" i="1" l="1"/>
  <c r="J18" i="1"/>
  <c r="M18" i="1" s="1"/>
  <c r="M49" i="1"/>
  <c r="M47" i="1"/>
  <c r="M40" i="1"/>
  <c r="J33" i="1" l="1"/>
  <c r="M33" i="1" s="1"/>
  <c r="J31" i="1"/>
  <c r="M31" i="1" s="1"/>
  <c r="J48" i="1"/>
  <c r="M48" i="1" s="1"/>
  <c r="J46" i="1"/>
  <c r="M46" i="1" s="1"/>
  <c r="J6" i="1"/>
  <c r="M6" i="1" s="1"/>
  <c r="J4" i="1"/>
  <c r="M4" i="1" s="1"/>
  <c r="J44" i="1"/>
  <c r="M44" i="1" s="1"/>
  <c r="J45" i="1"/>
  <c r="M45" i="1" s="1"/>
  <c r="J43" i="1"/>
  <c r="M43" i="1" s="1"/>
  <c r="J42" i="1"/>
  <c r="M42" i="1" s="1"/>
  <c r="J41" i="1"/>
  <c r="M41" i="1" s="1"/>
  <c r="J39" i="1"/>
  <c r="M39" i="1" s="1"/>
  <c r="J38" i="1"/>
  <c r="M38" i="1" s="1"/>
  <c r="J37" i="1"/>
  <c r="M37" i="1" s="1"/>
  <c r="J36" i="1"/>
  <c r="M36" i="1" s="1"/>
  <c r="J35" i="1"/>
  <c r="M35" i="1" s="1"/>
  <c r="J16" i="1"/>
  <c r="M16" i="1" s="1"/>
  <c r="J15" i="1"/>
  <c r="M15" i="1" s="1"/>
  <c r="J34" i="1"/>
  <c r="M34" i="1" s="1"/>
  <c r="J32" i="1"/>
  <c r="M32" i="1" s="1"/>
  <c r="J30" i="1"/>
  <c r="M30" i="1" s="1"/>
  <c r="J29" i="1"/>
  <c r="M29" i="1" s="1"/>
  <c r="J28" i="1"/>
  <c r="M28" i="1" s="1"/>
  <c r="J27" i="1"/>
  <c r="M27" i="1" s="1"/>
  <c r="J26" i="1"/>
  <c r="M26" i="1" s="1"/>
  <c r="J25" i="1"/>
  <c r="M25" i="1" s="1"/>
  <c r="M13" i="1"/>
  <c r="J24" i="1"/>
  <c r="M24" i="1" s="1"/>
  <c r="J23" i="1"/>
  <c r="M23" i="1" s="1"/>
  <c r="J12" i="1"/>
  <c r="M12" i="1" s="1"/>
  <c r="J11" i="1"/>
  <c r="M11" i="1" s="1"/>
  <c r="J10" i="1"/>
  <c r="M10" i="1" s="1"/>
  <c r="J22" i="1"/>
  <c r="M22" i="1" s="1"/>
  <c r="J21" i="1"/>
  <c r="M21" i="1" s="1"/>
  <c r="J9" i="1"/>
  <c r="M9" i="1" s="1"/>
  <c r="J20" i="1"/>
  <c r="M20" i="1" s="1"/>
  <c r="J19" i="1"/>
  <c r="M19" i="1" s="1"/>
  <c r="J8" i="1"/>
  <c r="M8" i="1" s="1"/>
  <c r="J7" i="1"/>
  <c r="M7" i="1" s="1"/>
  <c r="J5" i="1"/>
  <c r="M5" i="1" s="1"/>
  <c r="J3" i="1"/>
  <c r="M3" i="1" s="1"/>
  <c r="J2" i="1"/>
  <c r="M2" i="1" s="1"/>
  <c r="J17" i="1"/>
  <c r="M17" i="1" s="1"/>
  <c r="M50" i="1" l="1"/>
  <c r="M51" i="1" s="1"/>
  <c r="M52" i="1" s="1"/>
</calcChain>
</file>

<file path=xl/sharedStrings.xml><?xml version="1.0" encoding="utf-8"?>
<sst xmlns="http://schemas.openxmlformats.org/spreadsheetml/2006/main" count="304" uniqueCount="99">
  <si>
    <t>S.No</t>
  </si>
  <si>
    <t>Name of the Dealer</t>
  </si>
  <si>
    <t>State</t>
  </si>
  <si>
    <t>District</t>
  </si>
  <si>
    <t>Distributor Name</t>
  </si>
  <si>
    <t>Yadav Iron Store</t>
  </si>
  <si>
    <t>HARYANA</t>
  </si>
  <si>
    <t>REWARI</t>
  </si>
  <si>
    <t>NIKUNJ UDYOG</t>
  </si>
  <si>
    <t>GSB</t>
  </si>
  <si>
    <t>SONIPAT</t>
  </si>
  <si>
    <t>JAI DURGA STEELS</t>
  </si>
  <si>
    <t>SOHAN TRADING CO.</t>
  </si>
  <si>
    <t>PUSHPA CONSTRUCTION COMPANY</t>
  </si>
  <si>
    <t>PAL CEMENT AND STEEL PVT. LTD.</t>
  </si>
  <si>
    <t>PARBHU DAYAL AND SONS</t>
  </si>
  <si>
    <t>PREETI TRADELINK PRIVATE LIMITED</t>
  </si>
  <si>
    <t>FARIDABAD</t>
  </si>
  <si>
    <t>BABA SHEOT NATH CEMENT STORE</t>
  </si>
  <si>
    <t>ROHTAK</t>
  </si>
  <si>
    <t>SHREE SHYAM STEEL</t>
  </si>
  <si>
    <t>PANIPAT</t>
  </si>
  <si>
    <t>AGGARWAL CEMENT AND BUILDING MATERIAL</t>
  </si>
  <si>
    <t>GANPATI STEELS</t>
  </si>
  <si>
    <t>JIND</t>
  </si>
  <si>
    <t>SHREE SALASAR TRADING CO</t>
  </si>
  <si>
    <t>R. S. BUILDING MATERIAL</t>
  </si>
  <si>
    <t>SIRSA</t>
  </si>
  <si>
    <t>R.K. TRADERS</t>
  </si>
  <si>
    <t>NLB</t>
  </si>
  <si>
    <t>SHARMA TRADERS</t>
  </si>
  <si>
    <t>AMBA TRADING COMPANY INDIA</t>
  </si>
  <si>
    <t>Aakash Steel India</t>
  </si>
  <si>
    <t>Aggarwal Building Material store (hodal)</t>
  </si>
  <si>
    <t>S R ENTERPRISES</t>
  </si>
  <si>
    <t>SHREE BALAJI STEEL AND CEMENT</t>
  </si>
  <si>
    <t>DELHI</t>
  </si>
  <si>
    <t>SOUTH</t>
  </si>
  <si>
    <t>MAHENDRA STEELS</t>
  </si>
  <si>
    <t>DADA HARIDASS CONSTRUCTION COMPANY</t>
  </si>
  <si>
    <t>SOUTH WEST</t>
  </si>
  <si>
    <t>NAVEEN TRADING COMPANY</t>
  </si>
  <si>
    <t>KHATU SHYAM ENTERPRISES</t>
  </si>
  <si>
    <t>FATEHABAD</t>
  </si>
  <si>
    <t>JAGDAMBA STEEL AND CEMENT STORE</t>
  </si>
  <si>
    <t>OM PARKASH LAJPAT RAI (OMI LOHIA)</t>
  </si>
  <si>
    <t>R.G. TRADING CO.</t>
  </si>
  <si>
    <t>OM TRADERS COMPANY</t>
  </si>
  <si>
    <t>M/S R.K MARBLE &amp; BUILDING MATERIAL</t>
  </si>
  <si>
    <t>BHIWANI</t>
  </si>
  <si>
    <t>JITENDRA TRADERS</t>
  </si>
  <si>
    <t>BANSAL IRON STORE</t>
  </si>
  <si>
    <t>RAM DHAN ASHOK KUMAR</t>
  </si>
  <si>
    <t>LAXMI TIMBER TRADING CO</t>
  </si>
  <si>
    <t>Shree Shyam Enterprises</t>
  </si>
  <si>
    <t>Choudhary Trading co</t>
  </si>
  <si>
    <t>Shri Balaji Traders</t>
  </si>
  <si>
    <t>Haryana Steel</t>
  </si>
  <si>
    <t>Shree Shyam Balaji Steel</t>
  </si>
  <si>
    <t>Delhi</t>
  </si>
  <si>
    <t>HINDUSTAN STEEL</t>
  </si>
  <si>
    <t>M.R TRADERS</t>
  </si>
  <si>
    <t>MEHRAULI</t>
  </si>
  <si>
    <t>W</t>
  </si>
  <si>
    <t>H</t>
  </si>
  <si>
    <t>QTY</t>
  </si>
  <si>
    <t>SQFT</t>
  </si>
  <si>
    <t>PRATEEK TRADERS (SHAKTI STEEL)</t>
  </si>
  <si>
    <t>BAHALGARH STEEL UDYOG (KAMYA STEEL PVT LTD.)</t>
  </si>
  <si>
    <t>OM TRADERS(SHREE KRISHNA BUILDERS &amp; STEEL)</t>
  </si>
  <si>
    <t>KRISHNA STEELS(GOURAV STEELS)</t>
  </si>
  <si>
    <t>MS RAJDHANI SALES CORPORATION</t>
  </si>
  <si>
    <t>CITY</t>
  </si>
  <si>
    <t>BAHAL</t>
  </si>
  <si>
    <t>SAMALKHA</t>
  </si>
  <si>
    <t>GOHANA</t>
  </si>
  <si>
    <t>HANSI</t>
  </si>
  <si>
    <t>BADALA</t>
  </si>
  <si>
    <t>MAHAM</t>
  </si>
  <si>
    <t>PILUKHERA</t>
  </si>
  <si>
    <t>HISSAR</t>
  </si>
  <si>
    <t>BHATTU MANDI</t>
  </si>
  <si>
    <t>UKLANA</t>
  </si>
  <si>
    <t>BHAGOUTIPUR</t>
  </si>
  <si>
    <t>BAHADURGARH</t>
  </si>
  <si>
    <t>FARUKHNAGAR</t>
  </si>
  <si>
    <t>BHONDSI</t>
  </si>
  <si>
    <t>HODAL</t>
  </si>
  <si>
    <t>GURGAON</t>
  </si>
  <si>
    <t>DHARUHERA</t>
  </si>
  <si>
    <t>MAHENDERGARH</t>
  </si>
  <si>
    <t>Final Element as per Sanjeev Sir</t>
  </si>
  <si>
    <t>Rate</t>
  </si>
  <si>
    <t>Amount</t>
  </si>
  <si>
    <t>Iron Angle</t>
  </si>
  <si>
    <t>JSW - Chattarpur</t>
  </si>
  <si>
    <t>Sub Total</t>
  </si>
  <si>
    <t>GST @ 18%</t>
  </si>
  <si>
    <t>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</si>
</sst>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1" max="1" width="8.83203125" style="4"/>
    <col min="2" max="2" width="33.33203125" style="3" customWidth="1"/>
    <col min="3" max="3" width="13" style="4" customWidth="1"/>
    <col min="4" max="4" width="15.6640625" style="4" customWidth="1"/>
    <col min="5" max="5" width="14.83203125" style="4" bestFit="1" customWidth="1"/>
    <col min="6" max="6" width="23.5" style="4" customWidth="1"/>
    <col min="7" max="7" width="6.5" style="4" customWidth="1"/>
    <col min="8" max="8" width="5.83203125" style="4" customWidth="1"/>
    <col min="9" max="9" width="5" style="4" customWidth="1"/>
    <col min="10" max="10" width="10.33203125" style="4" customWidth="1"/>
    <col min="11" max="11" width="13.5" bestFit="1" customWidth="1"/>
  </cols>
  <sheetData>
    <row r="1" spans="1:13" x14ac:dyDescent="0.2">
      <c r="A1" s="9" t="s">
        <v>0</v>
      </c>
      <c r="B1" s="2" t="s">
        <v>1</v>
      </c>
      <c r="C1" s="2" t="s">
        <v>2</v>
      </c>
      <c r="D1" s="2" t="s">
        <v>3</v>
      </c>
      <c r="E1" s="2" t="s">
        <v>72</v>
      </c>
      <c r="F1" s="2" t="s">
        <v>4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91</v>
      </c>
      <c r="L1" s="2" t="s">
        <v>92</v>
      </c>
      <c r="M1" s="2" t="s">
        <v>93</v>
      </c>
    </row>
    <row r="2" spans="1:13" x14ac:dyDescent="0.2">
      <c r="A2" s="8">
        <v>1</v>
      </c>
      <c r="B2" s="5" t="s">
        <v>67</v>
      </c>
      <c r="C2" s="5" t="s">
        <v>6</v>
      </c>
      <c r="D2" s="5" t="s">
        <v>21</v>
      </c>
      <c r="E2" s="5" t="s">
        <v>21</v>
      </c>
      <c r="F2" s="5" t="s">
        <v>11</v>
      </c>
      <c r="G2" s="5">
        <v>240</v>
      </c>
      <c r="H2" s="5">
        <v>48</v>
      </c>
      <c r="I2" s="5">
        <v>1</v>
      </c>
      <c r="J2" s="6">
        <f t="shared" ref="J2:J48" si="0">G2*H2*I2/144</f>
        <v>80</v>
      </c>
      <c r="K2" s="1" t="s">
        <v>9</v>
      </c>
      <c r="L2" s="5">
        <v>175</v>
      </c>
      <c r="M2" s="7">
        <f>J2*I2*L2</f>
        <v>14000</v>
      </c>
    </row>
    <row r="3" spans="1:13" x14ac:dyDescent="0.2">
      <c r="A3" s="8">
        <v>2</v>
      </c>
      <c r="B3" s="5" t="s">
        <v>68</v>
      </c>
      <c r="C3" s="5" t="s">
        <v>6</v>
      </c>
      <c r="D3" s="5" t="s">
        <v>10</v>
      </c>
      <c r="E3" s="5" t="s">
        <v>10</v>
      </c>
      <c r="F3" s="5" t="s">
        <v>11</v>
      </c>
      <c r="G3" s="5">
        <v>600</v>
      </c>
      <c r="H3" s="5">
        <v>48</v>
      </c>
      <c r="I3" s="5">
        <v>1</v>
      </c>
      <c r="J3" s="6">
        <f t="shared" si="0"/>
        <v>200</v>
      </c>
      <c r="K3" s="1" t="s">
        <v>9</v>
      </c>
      <c r="L3" s="5">
        <v>175</v>
      </c>
      <c r="M3" s="7">
        <f t="shared" ref="M3:M49" si="1">J3*I3*L3</f>
        <v>35000</v>
      </c>
    </row>
    <row r="4" spans="1:13" x14ac:dyDescent="0.2">
      <c r="A4" s="8">
        <v>3</v>
      </c>
      <c r="B4" s="5" t="s">
        <v>68</v>
      </c>
      <c r="C4" s="5" t="s">
        <v>6</v>
      </c>
      <c r="D4" s="5" t="s">
        <v>10</v>
      </c>
      <c r="E4" s="5" t="s">
        <v>10</v>
      </c>
      <c r="F4" s="5" t="s">
        <v>11</v>
      </c>
      <c r="G4" s="5">
        <v>600</v>
      </c>
      <c r="H4" s="5">
        <v>48</v>
      </c>
      <c r="I4" s="5">
        <v>1</v>
      </c>
      <c r="J4" s="6">
        <f t="shared" si="0"/>
        <v>200</v>
      </c>
      <c r="K4" s="1" t="s">
        <v>94</v>
      </c>
      <c r="L4" s="5">
        <v>60</v>
      </c>
      <c r="M4" s="7">
        <f t="shared" si="1"/>
        <v>12000</v>
      </c>
    </row>
    <row r="5" spans="1:13" x14ac:dyDescent="0.2">
      <c r="A5" s="8">
        <v>4</v>
      </c>
      <c r="B5" s="5" t="s">
        <v>12</v>
      </c>
      <c r="C5" s="5" t="s">
        <v>6</v>
      </c>
      <c r="D5" s="5" t="s">
        <v>75</v>
      </c>
      <c r="E5" s="5" t="s">
        <v>75</v>
      </c>
      <c r="F5" s="5" t="s">
        <v>11</v>
      </c>
      <c r="G5" s="5">
        <v>420</v>
      </c>
      <c r="H5" s="5">
        <v>48</v>
      </c>
      <c r="I5" s="5">
        <v>1</v>
      </c>
      <c r="J5" s="6">
        <f t="shared" si="0"/>
        <v>140</v>
      </c>
      <c r="K5" s="1" t="s">
        <v>9</v>
      </c>
      <c r="L5" s="5">
        <v>175</v>
      </c>
      <c r="M5" s="7">
        <f t="shared" si="1"/>
        <v>24500</v>
      </c>
    </row>
    <row r="6" spans="1:13" x14ac:dyDescent="0.2">
      <c r="A6" s="8">
        <v>5</v>
      </c>
      <c r="B6" s="5" t="s">
        <v>12</v>
      </c>
      <c r="C6" s="5" t="s">
        <v>6</v>
      </c>
      <c r="D6" s="5" t="s">
        <v>75</v>
      </c>
      <c r="E6" s="5" t="s">
        <v>75</v>
      </c>
      <c r="F6" s="5" t="s">
        <v>11</v>
      </c>
      <c r="G6" s="5">
        <v>420</v>
      </c>
      <c r="H6" s="5">
        <v>48</v>
      </c>
      <c r="I6" s="5">
        <v>1</v>
      </c>
      <c r="J6" s="6">
        <f t="shared" si="0"/>
        <v>140</v>
      </c>
      <c r="K6" s="1" t="s">
        <v>94</v>
      </c>
      <c r="L6" s="5">
        <v>60</v>
      </c>
      <c r="M6" s="7">
        <f t="shared" si="1"/>
        <v>8400</v>
      </c>
    </row>
    <row r="7" spans="1:13" x14ac:dyDescent="0.2">
      <c r="A7" s="8">
        <v>6</v>
      </c>
      <c r="B7" s="5" t="s">
        <v>23</v>
      </c>
      <c r="C7" s="5" t="s">
        <v>6</v>
      </c>
      <c r="D7" s="5" t="s">
        <v>24</v>
      </c>
      <c r="E7" s="5" t="s">
        <v>24</v>
      </c>
      <c r="F7" s="5" t="s">
        <v>14</v>
      </c>
      <c r="G7" s="5">
        <v>240</v>
      </c>
      <c r="H7" s="5">
        <v>48</v>
      </c>
      <c r="I7" s="5">
        <v>1</v>
      </c>
      <c r="J7" s="6">
        <f t="shared" si="0"/>
        <v>80</v>
      </c>
      <c r="K7" s="1" t="s">
        <v>9</v>
      </c>
      <c r="L7" s="5">
        <v>175</v>
      </c>
      <c r="M7" s="7">
        <f t="shared" si="1"/>
        <v>14000</v>
      </c>
    </row>
    <row r="8" spans="1:13" x14ac:dyDescent="0.2">
      <c r="A8" s="8">
        <v>7</v>
      </c>
      <c r="B8" s="5" t="s">
        <v>25</v>
      </c>
      <c r="C8" s="5" t="s">
        <v>6</v>
      </c>
      <c r="D8" s="5" t="s">
        <v>76</v>
      </c>
      <c r="E8" s="5" t="s">
        <v>76</v>
      </c>
      <c r="F8" s="5" t="s">
        <v>14</v>
      </c>
      <c r="G8" s="5">
        <v>300</v>
      </c>
      <c r="H8" s="5">
        <v>60</v>
      </c>
      <c r="I8" s="5">
        <v>1</v>
      </c>
      <c r="J8" s="6">
        <f t="shared" si="0"/>
        <v>125</v>
      </c>
      <c r="K8" s="1" t="s">
        <v>9</v>
      </c>
      <c r="L8" s="5">
        <v>175</v>
      </c>
      <c r="M8" s="7">
        <f t="shared" si="1"/>
        <v>21875</v>
      </c>
    </row>
    <row r="9" spans="1:13" x14ac:dyDescent="0.2">
      <c r="A9" s="8">
        <v>8</v>
      </c>
      <c r="B9" s="5" t="s">
        <v>18</v>
      </c>
      <c r="C9" s="5" t="s">
        <v>6</v>
      </c>
      <c r="D9" s="5" t="s">
        <v>78</v>
      </c>
      <c r="E9" s="5" t="s">
        <v>78</v>
      </c>
      <c r="F9" s="5" t="s">
        <v>11</v>
      </c>
      <c r="G9" s="5">
        <v>240</v>
      </c>
      <c r="H9" s="5">
        <v>48</v>
      </c>
      <c r="I9" s="5">
        <v>1</v>
      </c>
      <c r="J9" s="6">
        <f t="shared" si="0"/>
        <v>80</v>
      </c>
      <c r="K9" s="1" t="s">
        <v>9</v>
      </c>
      <c r="L9" s="5">
        <v>175</v>
      </c>
      <c r="M9" s="7">
        <f t="shared" si="1"/>
        <v>14000</v>
      </c>
    </row>
    <row r="10" spans="1:13" x14ac:dyDescent="0.2">
      <c r="A10" s="8">
        <v>9</v>
      </c>
      <c r="B10" s="5" t="s">
        <v>13</v>
      </c>
      <c r="C10" s="5" t="s">
        <v>6</v>
      </c>
      <c r="D10" s="5" t="s">
        <v>80</v>
      </c>
      <c r="E10" s="5" t="s">
        <v>80</v>
      </c>
      <c r="F10" s="5" t="s">
        <v>14</v>
      </c>
      <c r="G10" s="5">
        <v>156</v>
      </c>
      <c r="H10" s="5">
        <v>60</v>
      </c>
      <c r="I10" s="5">
        <v>1</v>
      </c>
      <c r="J10" s="6">
        <f t="shared" si="0"/>
        <v>65</v>
      </c>
      <c r="K10" s="1" t="s">
        <v>9</v>
      </c>
      <c r="L10" s="5">
        <v>175</v>
      </c>
      <c r="M10" s="7">
        <f t="shared" si="1"/>
        <v>11375</v>
      </c>
    </row>
    <row r="11" spans="1:13" x14ac:dyDescent="0.2">
      <c r="A11" s="8">
        <v>10</v>
      </c>
      <c r="B11" s="5" t="s">
        <v>15</v>
      </c>
      <c r="C11" s="5" t="s">
        <v>6</v>
      </c>
      <c r="D11" s="5" t="s">
        <v>80</v>
      </c>
      <c r="E11" s="5" t="s">
        <v>80</v>
      </c>
      <c r="F11" s="5" t="s">
        <v>14</v>
      </c>
      <c r="G11" s="5">
        <v>144</v>
      </c>
      <c r="H11" s="5">
        <v>36</v>
      </c>
      <c r="I11" s="5">
        <v>1</v>
      </c>
      <c r="J11" s="6">
        <f t="shared" si="0"/>
        <v>36</v>
      </c>
      <c r="K11" s="1" t="s">
        <v>9</v>
      </c>
      <c r="L11" s="5">
        <v>175</v>
      </c>
      <c r="M11" s="7">
        <f t="shared" si="1"/>
        <v>6300</v>
      </c>
    </row>
    <row r="12" spans="1:13" x14ac:dyDescent="0.2">
      <c r="A12" s="8">
        <v>11</v>
      </c>
      <c r="B12" s="5" t="s">
        <v>26</v>
      </c>
      <c r="C12" s="5" t="s">
        <v>6</v>
      </c>
      <c r="D12" s="5" t="s">
        <v>27</v>
      </c>
      <c r="E12" s="5" t="s">
        <v>27</v>
      </c>
      <c r="F12" s="5" t="s">
        <v>14</v>
      </c>
      <c r="G12" s="5">
        <v>144</v>
      </c>
      <c r="H12" s="5">
        <v>60</v>
      </c>
      <c r="I12" s="5">
        <v>1</v>
      </c>
      <c r="J12" s="6">
        <f t="shared" si="0"/>
        <v>60</v>
      </c>
      <c r="K12" s="1" t="s">
        <v>9</v>
      </c>
      <c r="L12" s="5">
        <v>175</v>
      </c>
      <c r="M12" s="7">
        <f t="shared" si="1"/>
        <v>10500</v>
      </c>
    </row>
    <row r="13" spans="1:13" x14ac:dyDescent="0.2">
      <c r="A13" s="8">
        <v>12</v>
      </c>
      <c r="B13" s="5" t="s">
        <v>22</v>
      </c>
      <c r="C13" s="5" t="s">
        <v>6</v>
      </c>
      <c r="D13" s="5" t="s">
        <v>82</v>
      </c>
      <c r="E13" s="5" t="s">
        <v>82</v>
      </c>
      <c r="F13" s="5" t="s">
        <v>14</v>
      </c>
      <c r="G13" s="5">
        <v>240</v>
      </c>
      <c r="H13" s="5">
        <v>48</v>
      </c>
      <c r="I13" s="5">
        <v>1</v>
      </c>
      <c r="J13" s="6">
        <f>G13*H13*I13/144</f>
        <v>80</v>
      </c>
      <c r="K13" s="1" t="s">
        <v>9</v>
      </c>
      <c r="L13" s="5">
        <v>175</v>
      </c>
      <c r="M13" s="7">
        <f t="shared" si="1"/>
        <v>14000</v>
      </c>
    </row>
    <row r="14" spans="1:13" x14ac:dyDescent="0.2">
      <c r="A14" s="8">
        <v>13</v>
      </c>
      <c r="B14" s="5" t="s">
        <v>16</v>
      </c>
      <c r="C14" s="5" t="s">
        <v>6</v>
      </c>
      <c r="D14" s="5" t="s">
        <v>17</v>
      </c>
      <c r="E14" s="5" t="s">
        <v>17</v>
      </c>
      <c r="F14" s="5" t="s">
        <v>8</v>
      </c>
      <c r="G14" s="5">
        <v>216</v>
      </c>
      <c r="H14" s="5">
        <v>48</v>
      </c>
      <c r="I14" s="5">
        <v>2</v>
      </c>
      <c r="J14" s="6">
        <v>72</v>
      </c>
      <c r="K14" s="1" t="s">
        <v>9</v>
      </c>
      <c r="L14" s="5">
        <v>175</v>
      </c>
      <c r="M14" s="7">
        <f>J14*I14*L14</f>
        <v>25200</v>
      </c>
    </row>
    <row r="15" spans="1:13" x14ac:dyDescent="0.2">
      <c r="A15" s="8">
        <v>14</v>
      </c>
      <c r="B15" s="5" t="s">
        <v>20</v>
      </c>
      <c r="C15" s="5" t="s">
        <v>6</v>
      </c>
      <c r="D15" s="5" t="s">
        <v>88</v>
      </c>
      <c r="E15" s="5" t="s">
        <v>88</v>
      </c>
      <c r="F15" s="5" t="s">
        <v>8</v>
      </c>
      <c r="G15" s="5">
        <v>288</v>
      </c>
      <c r="H15" s="5">
        <v>48</v>
      </c>
      <c r="I15" s="5">
        <v>1</v>
      </c>
      <c r="J15" s="6">
        <f t="shared" si="0"/>
        <v>96</v>
      </c>
      <c r="K15" s="1" t="s">
        <v>9</v>
      </c>
      <c r="L15" s="5">
        <v>175</v>
      </c>
      <c r="M15" s="7">
        <f t="shared" si="1"/>
        <v>16800</v>
      </c>
    </row>
    <row r="16" spans="1:13" x14ac:dyDescent="0.2">
      <c r="A16" s="8">
        <v>15</v>
      </c>
      <c r="B16" s="5" t="s">
        <v>5</v>
      </c>
      <c r="C16" s="5" t="s">
        <v>6</v>
      </c>
      <c r="D16" s="5" t="s">
        <v>7</v>
      </c>
      <c r="E16" s="5" t="s">
        <v>7</v>
      </c>
      <c r="F16" s="5" t="s">
        <v>8</v>
      </c>
      <c r="G16" s="5">
        <v>240</v>
      </c>
      <c r="H16" s="5">
        <v>48</v>
      </c>
      <c r="I16" s="5">
        <v>1</v>
      </c>
      <c r="J16" s="6">
        <f t="shared" si="0"/>
        <v>80</v>
      </c>
      <c r="K16" s="1" t="s">
        <v>9</v>
      </c>
      <c r="L16" s="5">
        <v>175</v>
      </c>
      <c r="M16" s="7">
        <f t="shared" si="1"/>
        <v>14000</v>
      </c>
    </row>
    <row r="17" spans="1:13" x14ac:dyDescent="0.2">
      <c r="A17" s="8">
        <v>16</v>
      </c>
      <c r="B17" s="5" t="s">
        <v>48</v>
      </c>
      <c r="C17" s="5" t="s">
        <v>6</v>
      </c>
      <c r="D17" s="5" t="s">
        <v>49</v>
      </c>
      <c r="E17" s="5" t="s">
        <v>73</v>
      </c>
      <c r="F17" s="5" t="s">
        <v>14</v>
      </c>
      <c r="G17" s="5">
        <v>168</v>
      </c>
      <c r="H17" s="5">
        <v>48</v>
      </c>
      <c r="I17" s="5">
        <v>1</v>
      </c>
      <c r="J17" s="6">
        <f t="shared" si="0"/>
        <v>56</v>
      </c>
      <c r="K17" s="1" t="s">
        <v>29</v>
      </c>
      <c r="L17" s="5">
        <v>42</v>
      </c>
      <c r="M17" s="7">
        <f t="shared" si="1"/>
        <v>2352</v>
      </c>
    </row>
    <row r="18" spans="1:13" x14ac:dyDescent="0.2">
      <c r="A18" s="8">
        <v>17</v>
      </c>
      <c r="B18" s="5" t="s">
        <v>46</v>
      </c>
      <c r="C18" s="5" t="s">
        <v>6</v>
      </c>
      <c r="D18" s="5" t="s">
        <v>74</v>
      </c>
      <c r="E18" s="5" t="s">
        <v>74</v>
      </c>
      <c r="F18" s="5" t="s">
        <v>11</v>
      </c>
      <c r="G18" s="5">
        <v>438</v>
      </c>
      <c r="H18" s="5">
        <v>48</v>
      </c>
      <c r="I18" s="5">
        <v>1</v>
      </c>
      <c r="J18" s="6">
        <f>37*4</f>
        <v>148</v>
      </c>
      <c r="K18" s="1" t="s">
        <v>29</v>
      </c>
      <c r="L18" s="5">
        <v>42</v>
      </c>
      <c r="M18" s="7">
        <f t="shared" si="1"/>
        <v>6216</v>
      </c>
    </row>
    <row r="19" spans="1:13" x14ac:dyDescent="0.2">
      <c r="A19" s="8">
        <v>18</v>
      </c>
      <c r="B19" s="5" t="s">
        <v>56</v>
      </c>
      <c r="C19" s="5" t="s">
        <v>6</v>
      </c>
      <c r="D19" s="5" t="s">
        <v>24</v>
      </c>
      <c r="E19" s="1" t="s">
        <v>24</v>
      </c>
      <c r="F19" s="5" t="s">
        <v>14</v>
      </c>
      <c r="G19" s="5">
        <v>312</v>
      </c>
      <c r="H19" s="5">
        <v>60</v>
      </c>
      <c r="I19" s="5">
        <v>1</v>
      </c>
      <c r="J19" s="6">
        <f t="shared" si="0"/>
        <v>130</v>
      </c>
      <c r="K19" s="1" t="s">
        <v>29</v>
      </c>
      <c r="L19" s="5">
        <v>42</v>
      </c>
      <c r="M19" s="7">
        <f t="shared" si="1"/>
        <v>5460</v>
      </c>
    </row>
    <row r="20" spans="1:13" x14ac:dyDescent="0.2">
      <c r="A20" s="8">
        <v>19</v>
      </c>
      <c r="B20" s="5" t="s">
        <v>55</v>
      </c>
      <c r="C20" s="5" t="s">
        <v>6</v>
      </c>
      <c r="D20" s="5" t="s">
        <v>77</v>
      </c>
      <c r="E20" s="1" t="s">
        <v>77</v>
      </c>
      <c r="F20" s="5" t="s">
        <v>14</v>
      </c>
      <c r="G20" s="5">
        <v>228</v>
      </c>
      <c r="H20" s="5">
        <v>48</v>
      </c>
      <c r="I20" s="5">
        <v>1</v>
      </c>
      <c r="J20" s="6">
        <f t="shared" si="0"/>
        <v>76</v>
      </c>
      <c r="K20" s="1" t="s">
        <v>29</v>
      </c>
      <c r="L20" s="5">
        <v>42</v>
      </c>
      <c r="M20" s="7">
        <f t="shared" si="1"/>
        <v>3192</v>
      </c>
    </row>
    <row r="21" spans="1:13" x14ac:dyDescent="0.2">
      <c r="A21" s="8">
        <v>20</v>
      </c>
      <c r="B21" s="5" t="s">
        <v>45</v>
      </c>
      <c r="C21" s="5" t="s">
        <v>6</v>
      </c>
      <c r="D21" s="5" t="s">
        <v>79</v>
      </c>
      <c r="E21" s="5" t="s">
        <v>79</v>
      </c>
      <c r="F21" s="5" t="s">
        <v>14</v>
      </c>
      <c r="G21" s="5">
        <v>300</v>
      </c>
      <c r="H21" s="5">
        <v>48</v>
      </c>
      <c r="I21" s="5">
        <v>1</v>
      </c>
      <c r="J21" s="6">
        <f t="shared" si="0"/>
        <v>100</v>
      </c>
      <c r="K21" s="1" t="s">
        <v>29</v>
      </c>
      <c r="L21" s="5">
        <v>42</v>
      </c>
      <c r="M21" s="7">
        <f t="shared" si="1"/>
        <v>4200</v>
      </c>
    </row>
    <row r="22" spans="1:13" x14ac:dyDescent="0.2">
      <c r="A22" s="8">
        <v>21</v>
      </c>
      <c r="B22" s="5" t="s">
        <v>57</v>
      </c>
      <c r="C22" s="5" t="s">
        <v>6</v>
      </c>
      <c r="D22" s="5" t="s">
        <v>49</v>
      </c>
      <c r="E22" s="5" t="s">
        <v>49</v>
      </c>
      <c r="F22" s="5" t="s">
        <v>14</v>
      </c>
      <c r="G22" s="5">
        <v>444</v>
      </c>
      <c r="H22" s="5">
        <v>48</v>
      </c>
      <c r="I22" s="5">
        <v>1</v>
      </c>
      <c r="J22" s="6">
        <f t="shared" si="0"/>
        <v>148</v>
      </c>
      <c r="K22" s="1" t="s">
        <v>29</v>
      </c>
      <c r="L22" s="5">
        <v>42</v>
      </c>
      <c r="M22" s="7">
        <f t="shared" si="1"/>
        <v>6216</v>
      </c>
    </row>
    <row r="23" spans="1:13" x14ac:dyDescent="0.2">
      <c r="A23" s="8">
        <v>22</v>
      </c>
      <c r="B23" s="5" t="s">
        <v>61</v>
      </c>
      <c r="C23" s="5" t="s">
        <v>6</v>
      </c>
      <c r="D23" s="1" t="s">
        <v>43</v>
      </c>
      <c r="E23" s="1" t="s">
        <v>43</v>
      </c>
      <c r="F23" s="1" t="s">
        <v>14</v>
      </c>
      <c r="G23" s="1">
        <v>264</v>
      </c>
      <c r="H23" s="1">
        <v>48</v>
      </c>
      <c r="I23" s="1">
        <v>1</v>
      </c>
      <c r="J23" s="6">
        <f t="shared" si="0"/>
        <v>88</v>
      </c>
      <c r="K23" s="1" t="s">
        <v>29</v>
      </c>
      <c r="L23" s="5">
        <v>42</v>
      </c>
      <c r="M23" s="7">
        <f t="shared" si="1"/>
        <v>3696</v>
      </c>
    </row>
    <row r="24" spans="1:13" x14ac:dyDescent="0.2">
      <c r="A24" s="8">
        <v>23</v>
      </c>
      <c r="B24" s="5" t="s">
        <v>42</v>
      </c>
      <c r="C24" s="5" t="s">
        <v>6</v>
      </c>
      <c r="D24" s="5" t="s">
        <v>81</v>
      </c>
      <c r="E24" s="5" t="s">
        <v>81</v>
      </c>
      <c r="F24" s="5" t="s">
        <v>14</v>
      </c>
      <c r="G24" s="5">
        <v>216</v>
      </c>
      <c r="H24" s="5">
        <v>48</v>
      </c>
      <c r="I24" s="5">
        <v>1</v>
      </c>
      <c r="J24" s="6">
        <f t="shared" si="0"/>
        <v>72</v>
      </c>
      <c r="K24" s="1" t="s">
        <v>29</v>
      </c>
      <c r="L24" s="5">
        <v>42</v>
      </c>
      <c r="M24" s="7">
        <f t="shared" si="1"/>
        <v>3024</v>
      </c>
    </row>
    <row r="25" spans="1:13" x14ac:dyDescent="0.2">
      <c r="A25" s="8">
        <v>24</v>
      </c>
      <c r="B25" s="5" t="s">
        <v>41</v>
      </c>
      <c r="C25" s="5" t="s">
        <v>6</v>
      </c>
      <c r="D25" s="5" t="s">
        <v>19</v>
      </c>
      <c r="E25" s="5" t="s">
        <v>19</v>
      </c>
      <c r="F25" s="5" t="s">
        <v>11</v>
      </c>
      <c r="G25" s="5">
        <v>240</v>
      </c>
      <c r="H25" s="5">
        <v>48</v>
      </c>
      <c r="I25" s="5">
        <v>1</v>
      </c>
      <c r="J25" s="6">
        <f t="shared" si="0"/>
        <v>80</v>
      </c>
      <c r="K25" s="1" t="s">
        <v>29</v>
      </c>
      <c r="L25" s="5">
        <v>42</v>
      </c>
      <c r="M25" s="7">
        <f t="shared" si="1"/>
        <v>3360</v>
      </c>
    </row>
    <row r="26" spans="1:13" x14ac:dyDescent="0.2">
      <c r="A26" s="8">
        <v>25</v>
      </c>
      <c r="B26" s="5" t="s">
        <v>69</v>
      </c>
      <c r="C26" s="5" t="s">
        <v>6</v>
      </c>
      <c r="D26" s="5" t="s">
        <v>19</v>
      </c>
      <c r="E26" s="1" t="s">
        <v>19</v>
      </c>
      <c r="F26" s="5" t="s">
        <v>8</v>
      </c>
      <c r="G26" s="5">
        <v>420</v>
      </c>
      <c r="H26" s="5">
        <v>96</v>
      </c>
      <c r="I26" s="5">
        <v>1</v>
      </c>
      <c r="J26" s="6">
        <f t="shared" si="0"/>
        <v>280</v>
      </c>
      <c r="K26" s="1" t="s">
        <v>29</v>
      </c>
      <c r="L26" s="5">
        <v>42</v>
      </c>
      <c r="M26" s="7">
        <f t="shared" si="1"/>
        <v>11760</v>
      </c>
    </row>
    <row r="27" spans="1:13" x14ac:dyDescent="0.2">
      <c r="A27" s="8">
        <v>26</v>
      </c>
      <c r="B27" s="5" t="s">
        <v>54</v>
      </c>
      <c r="C27" s="5" t="s">
        <v>6</v>
      </c>
      <c r="D27" s="5" t="s">
        <v>83</v>
      </c>
      <c r="E27" s="1" t="s">
        <v>83</v>
      </c>
      <c r="F27" s="5" t="s">
        <v>11</v>
      </c>
      <c r="G27" s="5">
        <v>240</v>
      </c>
      <c r="H27" s="5">
        <v>48</v>
      </c>
      <c r="I27" s="5">
        <v>1</v>
      </c>
      <c r="J27" s="6">
        <f t="shared" si="0"/>
        <v>80</v>
      </c>
      <c r="K27" s="1" t="s">
        <v>29</v>
      </c>
      <c r="L27" s="5">
        <v>42</v>
      </c>
      <c r="M27" s="7">
        <f t="shared" si="1"/>
        <v>3360</v>
      </c>
    </row>
    <row r="28" spans="1:13" x14ac:dyDescent="0.2">
      <c r="A28" s="8">
        <v>27</v>
      </c>
      <c r="B28" s="5" t="s">
        <v>50</v>
      </c>
      <c r="C28" s="5" t="s">
        <v>6</v>
      </c>
      <c r="D28" s="5" t="s">
        <v>84</v>
      </c>
      <c r="E28" s="5" t="s">
        <v>84</v>
      </c>
      <c r="F28" s="5" t="s">
        <v>11</v>
      </c>
      <c r="G28" s="5">
        <v>228</v>
      </c>
      <c r="H28" s="5">
        <v>60</v>
      </c>
      <c r="I28" s="5">
        <v>1</v>
      </c>
      <c r="J28" s="6">
        <f t="shared" si="0"/>
        <v>95</v>
      </c>
      <c r="K28" s="1" t="s">
        <v>29</v>
      </c>
      <c r="L28" s="5">
        <v>42</v>
      </c>
      <c r="M28" s="7">
        <f t="shared" si="1"/>
        <v>3990</v>
      </c>
    </row>
    <row r="29" spans="1:13" x14ac:dyDescent="0.2">
      <c r="A29" s="8">
        <v>28</v>
      </c>
      <c r="B29" s="5" t="s">
        <v>30</v>
      </c>
      <c r="C29" s="5" t="s">
        <v>6</v>
      </c>
      <c r="D29" s="5" t="s">
        <v>85</v>
      </c>
      <c r="E29" s="5" t="s">
        <v>85</v>
      </c>
      <c r="F29" s="5" t="s">
        <v>8</v>
      </c>
      <c r="G29" s="5">
        <v>324</v>
      </c>
      <c r="H29" s="5">
        <v>48</v>
      </c>
      <c r="I29" s="5">
        <v>1</v>
      </c>
      <c r="J29" s="6">
        <f t="shared" si="0"/>
        <v>108</v>
      </c>
      <c r="K29" s="1" t="s">
        <v>29</v>
      </c>
      <c r="L29" s="5">
        <v>42</v>
      </c>
      <c r="M29" s="7">
        <f t="shared" si="1"/>
        <v>4536</v>
      </c>
    </row>
    <row r="30" spans="1:13" x14ac:dyDescent="0.2">
      <c r="A30" s="8">
        <v>29</v>
      </c>
      <c r="B30" s="5" t="s">
        <v>47</v>
      </c>
      <c r="C30" s="5" t="s">
        <v>6</v>
      </c>
      <c r="D30" s="5" t="s">
        <v>86</v>
      </c>
      <c r="E30" s="5" t="s">
        <v>86</v>
      </c>
      <c r="F30" s="5" t="s">
        <v>11</v>
      </c>
      <c r="G30" s="5">
        <v>240</v>
      </c>
      <c r="H30" s="5">
        <v>60</v>
      </c>
      <c r="I30" s="5">
        <v>1</v>
      </c>
      <c r="J30" s="6">
        <f t="shared" si="0"/>
        <v>100</v>
      </c>
      <c r="K30" s="1" t="s">
        <v>29</v>
      </c>
      <c r="L30" s="5">
        <v>42</v>
      </c>
      <c r="M30" s="7">
        <f t="shared" si="1"/>
        <v>4200</v>
      </c>
    </row>
    <row r="31" spans="1:13" x14ac:dyDescent="0.2">
      <c r="A31" s="8">
        <v>30</v>
      </c>
      <c r="B31" s="5" t="s">
        <v>70</v>
      </c>
      <c r="C31" s="5" t="s">
        <v>6</v>
      </c>
      <c r="D31" s="5" t="s">
        <v>17</v>
      </c>
      <c r="E31" s="5" t="s">
        <v>17</v>
      </c>
      <c r="F31" s="5" t="s">
        <v>8</v>
      </c>
      <c r="G31" s="5">
        <v>500</v>
      </c>
      <c r="H31" s="5">
        <v>96</v>
      </c>
      <c r="I31" s="5">
        <v>1</v>
      </c>
      <c r="J31" s="6">
        <f>42*8</f>
        <v>336</v>
      </c>
      <c r="K31" s="1" t="s">
        <v>29</v>
      </c>
      <c r="L31" s="5">
        <v>42</v>
      </c>
      <c r="M31" s="7">
        <f t="shared" si="1"/>
        <v>14112</v>
      </c>
    </row>
    <row r="32" spans="1:13" x14ac:dyDescent="0.2">
      <c r="A32" s="8">
        <v>31</v>
      </c>
      <c r="B32" s="5" t="s">
        <v>71</v>
      </c>
      <c r="C32" s="5" t="s">
        <v>36</v>
      </c>
      <c r="D32" s="5" t="s">
        <v>62</v>
      </c>
      <c r="E32" s="5" t="s">
        <v>62</v>
      </c>
      <c r="F32" s="5" t="s">
        <v>8</v>
      </c>
      <c r="G32" s="5">
        <v>240</v>
      </c>
      <c r="H32" s="5">
        <v>48</v>
      </c>
      <c r="I32" s="5">
        <v>1</v>
      </c>
      <c r="J32" s="6">
        <f t="shared" si="0"/>
        <v>80</v>
      </c>
      <c r="K32" s="1" t="s">
        <v>29</v>
      </c>
      <c r="L32" s="5">
        <v>42</v>
      </c>
      <c r="M32" s="7">
        <f t="shared" si="1"/>
        <v>3360</v>
      </c>
    </row>
    <row r="33" spans="1:13" x14ac:dyDescent="0.2">
      <c r="A33" s="8">
        <v>32</v>
      </c>
      <c r="B33" s="5" t="s">
        <v>33</v>
      </c>
      <c r="C33" s="5" t="s">
        <v>6</v>
      </c>
      <c r="D33" s="5" t="s">
        <v>87</v>
      </c>
      <c r="E33" s="5" t="s">
        <v>87</v>
      </c>
      <c r="F33" s="5" t="s">
        <v>8</v>
      </c>
      <c r="G33" s="5">
        <v>326</v>
      </c>
      <c r="H33" s="5">
        <v>48</v>
      </c>
      <c r="I33" s="5">
        <v>1</v>
      </c>
      <c r="J33" s="6">
        <f>28*4</f>
        <v>112</v>
      </c>
      <c r="K33" s="1" t="s">
        <v>29</v>
      </c>
      <c r="L33" s="5">
        <v>42</v>
      </c>
      <c r="M33" s="7">
        <f t="shared" si="1"/>
        <v>4704</v>
      </c>
    </row>
    <row r="34" spans="1:13" x14ac:dyDescent="0.2">
      <c r="A34" s="8">
        <v>33</v>
      </c>
      <c r="B34" s="5" t="s">
        <v>34</v>
      </c>
      <c r="C34" s="5" t="s">
        <v>6</v>
      </c>
      <c r="D34" s="5" t="s">
        <v>88</v>
      </c>
      <c r="E34" s="5" t="s">
        <v>88</v>
      </c>
      <c r="F34" s="5" t="s">
        <v>8</v>
      </c>
      <c r="G34" s="5">
        <v>264</v>
      </c>
      <c r="H34" s="5">
        <v>48</v>
      </c>
      <c r="I34" s="5">
        <v>1</v>
      </c>
      <c r="J34" s="6">
        <f t="shared" si="0"/>
        <v>88</v>
      </c>
      <c r="K34" s="1" t="s">
        <v>29</v>
      </c>
      <c r="L34" s="5">
        <v>42</v>
      </c>
      <c r="M34" s="7">
        <f t="shared" si="1"/>
        <v>3696</v>
      </c>
    </row>
    <row r="35" spans="1:13" x14ac:dyDescent="0.2">
      <c r="A35" s="8">
        <v>34</v>
      </c>
      <c r="B35" s="5" t="s">
        <v>31</v>
      </c>
      <c r="C35" s="5" t="s">
        <v>6</v>
      </c>
      <c r="D35" s="5" t="s">
        <v>88</v>
      </c>
      <c r="E35" s="5" t="s">
        <v>88</v>
      </c>
      <c r="F35" s="5" t="s">
        <v>8</v>
      </c>
      <c r="G35" s="5">
        <v>144</v>
      </c>
      <c r="H35" s="5">
        <v>60</v>
      </c>
      <c r="I35" s="5">
        <v>1</v>
      </c>
      <c r="J35" s="6">
        <f t="shared" si="0"/>
        <v>60</v>
      </c>
      <c r="K35" s="1" t="s">
        <v>29</v>
      </c>
      <c r="L35" s="5">
        <v>42</v>
      </c>
      <c r="M35" s="7">
        <f t="shared" si="1"/>
        <v>2520</v>
      </c>
    </row>
    <row r="36" spans="1:13" x14ac:dyDescent="0.2">
      <c r="A36" s="8">
        <v>35</v>
      </c>
      <c r="B36" s="5" t="s">
        <v>28</v>
      </c>
      <c r="C36" s="5" t="s">
        <v>6</v>
      </c>
      <c r="D36" s="5" t="s">
        <v>89</v>
      </c>
      <c r="E36" s="5" t="s">
        <v>89</v>
      </c>
      <c r="F36" s="5" t="s">
        <v>8</v>
      </c>
      <c r="G36" s="5">
        <v>144</v>
      </c>
      <c r="H36" s="5">
        <v>60</v>
      </c>
      <c r="I36" s="5">
        <v>1</v>
      </c>
      <c r="J36" s="6">
        <f t="shared" si="0"/>
        <v>60</v>
      </c>
      <c r="K36" s="1" t="s">
        <v>29</v>
      </c>
      <c r="L36" s="5">
        <v>42</v>
      </c>
      <c r="M36" s="7">
        <f t="shared" si="1"/>
        <v>2520</v>
      </c>
    </row>
    <row r="37" spans="1:13" x14ac:dyDescent="0.2">
      <c r="A37" s="8">
        <v>36</v>
      </c>
      <c r="B37" s="5" t="s">
        <v>32</v>
      </c>
      <c r="C37" s="5" t="s">
        <v>6</v>
      </c>
      <c r="D37" s="5" t="s">
        <v>88</v>
      </c>
      <c r="E37" s="5" t="s">
        <v>88</v>
      </c>
      <c r="F37" s="5" t="s">
        <v>8</v>
      </c>
      <c r="G37" s="5">
        <v>168</v>
      </c>
      <c r="H37" s="5">
        <v>60</v>
      </c>
      <c r="I37" s="5">
        <v>1</v>
      </c>
      <c r="J37" s="6">
        <f t="shared" si="0"/>
        <v>70</v>
      </c>
      <c r="K37" s="1" t="s">
        <v>29</v>
      </c>
      <c r="L37" s="5">
        <v>42</v>
      </c>
      <c r="M37" s="7">
        <f t="shared" si="1"/>
        <v>2940</v>
      </c>
    </row>
    <row r="38" spans="1:13" x14ac:dyDescent="0.2">
      <c r="A38" s="8">
        <v>37</v>
      </c>
      <c r="B38" s="5" t="s">
        <v>51</v>
      </c>
      <c r="C38" s="5" t="s">
        <v>6</v>
      </c>
      <c r="D38" s="5" t="s">
        <v>90</v>
      </c>
      <c r="E38" s="5" t="s">
        <v>90</v>
      </c>
      <c r="F38" s="5" t="s">
        <v>8</v>
      </c>
      <c r="G38" s="5">
        <v>324</v>
      </c>
      <c r="H38" s="5">
        <v>48</v>
      </c>
      <c r="I38" s="5">
        <v>1</v>
      </c>
      <c r="J38" s="6">
        <f t="shared" si="0"/>
        <v>108</v>
      </c>
      <c r="K38" s="1" t="s">
        <v>29</v>
      </c>
      <c r="L38" s="5">
        <v>42</v>
      </c>
      <c r="M38" s="7">
        <f t="shared" si="1"/>
        <v>4536</v>
      </c>
    </row>
    <row r="39" spans="1:13" x14ac:dyDescent="0.2">
      <c r="A39" s="8">
        <v>38</v>
      </c>
      <c r="B39" s="5" t="s">
        <v>53</v>
      </c>
      <c r="C39" s="5" t="s">
        <v>59</v>
      </c>
      <c r="D39" s="5" t="s">
        <v>36</v>
      </c>
      <c r="E39" s="5" t="s">
        <v>59</v>
      </c>
      <c r="F39" s="5" t="s">
        <v>38</v>
      </c>
      <c r="G39" s="5">
        <v>360</v>
      </c>
      <c r="H39" s="5">
        <v>48</v>
      </c>
      <c r="I39" s="5">
        <v>1</v>
      </c>
      <c r="J39" s="6">
        <f t="shared" si="0"/>
        <v>120</v>
      </c>
      <c r="K39" s="1" t="s">
        <v>29</v>
      </c>
      <c r="L39" s="5">
        <v>42</v>
      </c>
      <c r="M39" s="7">
        <f t="shared" si="1"/>
        <v>5040</v>
      </c>
    </row>
    <row r="40" spans="1:13" x14ac:dyDescent="0.2">
      <c r="A40" s="8">
        <v>39</v>
      </c>
      <c r="B40" s="5" t="s">
        <v>52</v>
      </c>
      <c r="C40" s="5" t="s">
        <v>59</v>
      </c>
      <c r="D40" s="5" t="s">
        <v>36</v>
      </c>
      <c r="E40" s="5" t="s">
        <v>59</v>
      </c>
      <c r="F40" s="5" t="s">
        <v>38</v>
      </c>
      <c r="G40" s="5">
        <v>458</v>
      </c>
      <c r="H40" s="5">
        <v>48</v>
      </c>
      <c r="I40" s="5">
        <v>1</v>
      </c>
      <c r="J40" s="6">
        <f>39*4</f>
        <v>156</v>
      </c>
      <c r="K40" s="1" t="s">
        <v>29</v>
      </c>
      <c r="L40" s="5">
        <v>42</v>
      </c>
      <c r="M40" s="7">
        <f t="shared" si="1"/>
        <v>6552</v>
      </c>
    </row>
    <row r="41" spans="1:13" x14ac:dyDescent="0.2">
      <c r="A41" s="8">
        <v>40</v>
      </c>
      <c r="B41" s="5" t="s">
        <v>44</v>
      </c>
      <c r="C41" s="5" t="s">
        <v>36</v>
      </c>
      <c r="D41" s="5" t="s">
        <v>40</v>
      </c>
      <c r="E41" s="5" t="s">
        <v>36</v>
      </c>
      <c r="F41" s="5" t="s">
        <v>38</v>
      </c>
      <c r="G41" s="5">
        <v>240</v>
      </c>
      <c r="H41" s="5">
        <v>48</v>
      </c>
      <c r="I41" s="5">
        <v>1</v>
      </c>
      <c r="J41" s="6">
        <f t="shared" si="0"/>
        <v>80</v>
      </c>
      <c r="K41" s="1" t="s">
        <v>29</v>
      </c>
      <c r="L41" s="5">
        <v>42</v>
      </c>
      <c r="M41" s="7">
        <f t="shared" si="1"/>
        <v>3360</v>
      </c>
    </row>
    <row r="42" spans="1:13" x14ac:dyDescent="0.2">
      <c r="A42" s="8">
        <v>41</v>
      </c>
      <c r="B42" s="5" t="s">
        <v>39</v>
      </c>
      <c r="C42" s="5" t="s">
        <v>36</v>
      </c>
      <c r="D42" s="5" t="s">
        <v>40</v>
      </c>
      <c r="E42" s="5" t="s">
        <v>36</v>
      </c>
      <c r="F42" s="5" t="s">
        <v>38</v>
      </c>
      <c r="G42" s="5">
        <v>42</v>
      </c>
      <c r="H42" s="5">
        <v>96</v>
      </c>
      <c r="I42" s="5">
        <v>1</v>
      </c>
      <c r="J42" s="6">
        <f t="shared" si="0"/>
        <v>28</v>
      </c>
      <c r="K42" s="1" t="s">
        <v>29</v>
      </c>
      <c r="L42" s="5">
        <v>42</v>
      </c>
      <c r="M42" s="7">
        <f t="shared" si="1"/>
        <v>1176</v>
      </c>
    </row>
    <row r="43" spans="1:13" x14ac:dyDescent="0.2">
      <c r="A43" s="8">
        <v>42</v>
      </c>
      <c r="B43" s="5" t="s">
        <v>60</v>
      </c>
      <c r="C43" s="5" t="s">
        <v>59</v>
      </c>
      <c r="D43" s="5" t="s">
        <v>59</v>
      </c>
      <c r="E43" s="5" t="s">
        <v>59</v>
      </c>
      <c r="F43" s="5" t="s">
        <v>38</v>
      </c>
      <c r="G43" s="5">
        <v>360</v>
      </c>
      <c r="H43" s="5">
        <v>48</v>
      </c>
      <c r="I43" s="5">
        <v>1</v>
      </c>
      <c r="J43" s="6">
        <f t="shared" si="0"/>
        <v>120</v>
      </c>
      <c r="K43" s="1" t="s">
        <v>29</v>
      </c>
      <c r="L43" s="5">
        <v>42</v>
      </c>
      <c r="M43" s="7">
        <f t="shared" si="1"/>
        <v>5040</v>
      </c>
    </row>
    <row r="44" spans="1:13" x14ac:dyDescent="0.2">
      <c r="A44" s="8">
        <v>43</v>
      </c>
      <c r="B44" s="5" t="s">
        <v>58</v>
      </c>
      <c r="C44" s="5" t="s">
        <v>59</v>
      </c>
      <c r="D44" s="5" t="s">
        <v>59</v>
      </c>
      <c r="E44" s="5" t="s">
        <v>59</v>
      </c>
      <c r="F44" s="5" t="s">
        <v>38</v>
      </c>
      <c r="G44" s="5">
        <v>240</v>
      </c>
      <c r="H44" s="5">
        <v>36</v>
      </c>
      <c r="I44" s="5">
        <v>1</v>
      </c>
      <c r="J44" s="6">
        <f t="shared" si="0"/>
        <v>60</v>
      </c>
      <c r="K44" s="1" t="s">
        <v>29</v>
      </c>
      <c r="L44" s="5">
        <v>42</v>
      </c>
      <c r="M44" s="7">
        <f t="shared" si="1"/>
        <v>2520</v>
      </c>
    </row>
    <row r="45" spans="1:13" x14ac:dyDescent="0.2">
      <c r="A45" s="8">
        <v>44</v>
      </c>
      <c r="B45" s="5" t="s">
        <v>35</v>
      </c>
      <c r="C45" s="5" t="s">
        <v>36</v>
      </c>
      <c r="D45" s="5" t="s">
        <v>37</v>
      </c>
      <c r="E45" s="5" t="s">
        <v>36</v>
      </c>
      <c r="F45" s="5" t="s">
        <v>38</v>
      </c>
      <c r="G45" s="5">
        <v>264</v>
      </c>
      <c r="H45" s="5">
        <v>48</v>
      </c>
      <c r="I45" s="5">
        <v>1</v>
      </c>
      <c r="J45" s="6">
        <f t="shared" si="0"/>
        <v>88</v>
      </c>
      <c r="K45" s="1" t="s">
        <v>29</v>
      </c>
      <c r="L45" s="5">
        <v>42</v>
      </c>
      <c r="M45" s="7">
        <f t="shared" si="1"/>
        <v>3696</v>
      </c>
    </row>
    <row r="46" spans="1:13" x14ac:dyDescent="0.2">
      <c r="A46" s="8">
        <v>45</v>
      </c>
      <c r="B46" s="1" t="s">
        <v>95</v>
      </c>
      <c r="C46" s="1" t="s">
        <v>36</v>
      </c>
      <c r="D46" s="5" t="s">
        <v>37</v>
      </c>
      <c r="E46" s="5" t="s">
        <v>36</v>
      </c>
      <c r="F46" s="5" t="s">
        <v>38</v>
      </c>
      <c r="G46" s="1">
        <v>156</v>
      </c>
      <c r="H46" s="1">
        <v>48</v>
      </c>
      <c r="I46" s="1">
        <v>1</v>
      </c>
      <c r="J46" s="1">
        <f t="shared" si="0"/>
        <v>52</v>
      </c>
      <c r="K46" s="1" t="s">
        <v>9</v>
      </c>
      <c r="L46" s="5">
        <v>175</v>
      </c>
      <c r="M46" s="7">
        <f t="shared" si="1"/>
        <v>9100</v>
      </c>
    </row>
    <row r="47" spans="1:13" x14ac:dyDescent="0.2">
      <c r="A47" s="8">
        <v>46</v>
      </c>
      <c r="B47" s="1" t="s">
        <v>95</v>
      </c>
      <c r="C47" s="1" t="s">
        <v>36</v>
      </c>
      <c r="D47" s="5" t="s">
        <v>37</v>
      </c>
      <c r="E47" s="5" t="s">
        <v>36</v>
      </c>
      <c r="F47" s="5" t="s">
        <v>38</v>
      </c>
      <c r="G47" s="1">
        <v>220</v>
      </c>
      <c r="H47" s="1">
        <v>36</v>
      </c>
      <c r="I47" s="1">
        <v>1</v>
      </c>
      <c r="J47" s="1">
        <v>57</v>
      </c>
      <c r="K47" s="1" t="s">
        <v>29</v>
      </c>
      <c r="L47" s="5">
        <v>42</v>
      </c>
      <c r="M47" s="7">
        <f t="shared" si="1"/>
        <v>2394</v>
      </c>
    </row>
    <row r="48" spans="1:13" x14ac:dyDescent="0.2">
      <c r="A48" s="8">
        <v>47</v>
      </c>
      <c r="B48" s="1" t="s">
        <v>95</v>
      </c>
      <c r="C48" s="1" t="s">
        <v>36</v>
      </c>
      <c r="D48" s="5" t="s">
        <v>37</v>
      </c>
      <c r="E48" s="5" t="s">
        <v>36</v>
      </c>
      <c r="F48" s="5" t="s">
        <v>38</v>
      </c>
      <c r="G48" s="1">
        <v>84</v>
      </c>
      <c r="H48" s="1">
        <v>48</v>
      </c>
      <c r="I48" s="1">
        <v>1</v>
      </c>
      <c r="J48" s="1">
        <f t="shared" si="0"/>
        <v>28</v>
      </c>
      <c r="K48" s="1" t="s">
        <v>29</v>
      </c>
      <c r="L48" s="5">
        <v>42</v>
      </c>
      <c r="M48" s="7">
        <f t="shared" si="1"/>
        <v>1176</v>
      </c>
    </row>
    <row r="49" spans="1:13" x14ac:dyDescent="0.2">
      <c r="A49" s="8">
        <v>48</v>
      </c>
      <c r="B49" s="1" t="s">
        <v>95</v>
      </c>
      <c r="C49" s="1" t="s">
        <v>36</v>
      </c>
      <c r="D49" s="5" t="s">
        <v>37</v>
      </c>
      <c r="E49" s="5" t="s">
        <v>36</v>
      </c>
      <c r="F49" s="5" t="s">
        <v>38</v>
      </c>
      <c r="G49" s="1">
        <v>41</v>
      </c>
      <c r="H49" s="1">
        <v>36</v>
      </c>
      <c r="I49" s="1">
        <v>1</v>
      </c>
      <c r="J49" s="1">
        <v>12</v>
      </c>
      <c r="K49" s="1" t="s">
        <v>29</v>
      </c>
      <c r="L49" s="5">
        <v>42</v>
      </c>
      <c r="M49" s="7">
        <f t="shared" si="1"/>
        <v>504</v>
      </c>
    </row>
    <row r="50" spans="1:13" x14ac:dyDescent="0.2">
      <c r="A50" s="12" t="s">
        <v>96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/>
      <c r="M50" s="10">
        <f>SUM(M2:M49)</f>
        <v>386458</v>
      </c>
    </row>
    <row r="51" spans="1:13" x14ac:dyDescent="0.2">
      <c r="A51" s="12" t="s">
        <v>97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1">
        <f>M50*18%</f>
        <v>69562.44</v>
      </c>
    </row>
    <row r="52" spans="1:13" x14ac:dyDescent="0.2">
      <c r="A52" s="12" t="s">
        <v>98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4"/>
      <c r="M52">
        <f>M50+M51</f>
        <v>456020.44</v>
      </c>
    </row>
  </sheetData>
  <mergeCells count="3">
    <mergeCell ref="A50:L50"/>
    <mergeCell ref="A51:L51"/>
    <mergeCell ref="A52:L52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BHANDARI</dc:creator>
  <cp:lastModifiedBy>A A</cp:lastModifiedBy>
  <cp:lastPrinted>2026-02-05T10:06:44Z</cp:lastPrinted>
  <dcterms:created xsi:type="dcterms:W3CDTF">2025-12-16T11:06:31Z</dcterms:created>
  <dcterms:modified xsi:type="dcterms:W3CDTF">2026-03-05T03:06:17Z</dcterms:modified>
</cp:coreProperties>
</file>