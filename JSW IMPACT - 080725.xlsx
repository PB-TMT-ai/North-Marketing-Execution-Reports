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aa/Desktop/Desktop/General/JSW/Apr-Jun-25/Billing/080725/"/>
    </mc:Choice>
  </mc:AlternateContent>
  <xr:revisionPtr revIDLastSave="0" documentId="13_ncr:1_{E21C2E4A-B1F0-774A-A097-09F4AFCEF2DD}" xr6:coauthVersionLast="47" xr6:coauthVersionMax="47" xr10:uidLastSave="{00000000-0000-0000-0000-000000000000}"/>
  <bookViews>
    <workbookView xWindow="140" yWindow="660" windowWidth="28480" windowHeight="15920" tabRatio="500" xr2:uid="{00000000-000D-0000-FFFF-FFFF00000000}"/>
  </bookViews>
  <sheets>
    <sheet name="Haryan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E10" i="2"/>
  <c r="S34" i="1"/>
  <c r="S33" i="1"/>
  <c r="S31" i="1"/>
  <c r="S28" i="1"/>
  <c r="S27" i="1"/>
  <c r="S25" i="1"/>
  <c r="S20" i="1"/>
  <c r="S18" i="1"/>
  <c r="S37" i="1"/>
  <c r="S36" i="1"/>
  <c r="P37" i="1"/>
  <c r="S39" i="1" l="1"/>
  <c r="P36" i="1"/>
  <c r="O35" i="1"/>
  <c r="P34" i="1"/>
  <c r="P33" i="1"/>
  <c r="O32" i="1" l="1"/>
  <c r="P31" i="1"/>
  <c r="P30" i="1"/>
  <c r="P29" i="1"/>
  <c r="P28" i="1"/>
  <c r="P27" i="1"/>
  <c r="P26" i="1"/>
  <c r="P25" i="1"/>
  <c r="O24" i="1"/>
  <c r="P23" i="1"/>
  <c r="P22" i="1"/>
  <c r="P21" i="1"/>
  <c r="P20" i="1"/>
  <c r="O19" i="1"/>
  <c r="P18" i="1"/>
  <c r="O17" i="1"/>
  <c r="P16" i="1"/>
  <c r="P15" i="1"/>
  <c r="P14" i="1"/>
  <c r="P13" i="1"/>
  <c r="P12" i="1"/>
  <c r="S12" i="1" s="1"/>
  <c r="O11" i="1"/>
  <c r="P10" i="1"/>
  <c r="S10" i="1" s="1"/>
  <c r="O9" i="1"/>
  <c r="P8" i="1"/>
  <c r="O7" i="1"/>
  <c r="O6" i="1"/>
  <c r="O5" i="1"/>
  <c r="O4" i="1"/>
  <c r="P3" i="1"/>
  <c r="S3" i="1" s="1"/>
  <c r="S14" i="1" l="1"/>
  <c r="S8" i="1"/>
  <c r="O39" i="1"/>
  <c r="P39" i="1"/>
  <c r="O43" i="1" l="1"/>
</calcChain>
</file>

<file path=xl/sharedStrings.xml><?xml version="1.0" encoding="utf-8"?>
<sst xmlns="http://schemas.openxmlformats.org/spreadsheetml/2006/main" count="149" uniqueCount="70">
  <si>
    <t>HARYANA IMPACT</t>
  </si>
  <si>
    <t>Size</t>
  </si>
  <si>
    <t>S.No</t>
  </si>
  <si>
    <t>Region</t>
  </si>
  <si>
    <t>Painting Type</t>
  </si>
  <si>
    <t>State</t>
  </si>
  <si>
    <t>City</t>
  </si>
  <si>
    <t>Location</t>
  </si>
  <si>
    <t>Site name</t>
  </si>
  <si>
    <t>Status</t>
  </si>
  <si>
    <t>Latitude</t>
  </si>
  <si>
    <t>Longitude</t>
  </si>
  <si>
    <t>Wall/Shop Number (Vendor Initials_wall No._DD/MM/YY)</t>
  </si>
  <si>
    <t>Wall Tenure (in months)</t>
  </si>
  <si>
    <t>Execution Date</t>
  </si>
  <si>
    <t>Comment/Remarks</t>
  </si>
  <si>
    <t>Less 
Sqft</t>
  </si>
  <si>
    <t>Actual Sq ft</t>
  </si>
  <si>
    <t>W</t>
  </si>
  <si>
    <t>H</t>
  </si>
  <si>
    <t>North</t>
  </si>
  <si>
    <t>IMPACT</t>
  </si>
  <si>
    <t>HR</t>
  </si>
  <si>
    <t>Jind</t>
  </si>
  <si>
    <t>Bhiwani Rd, Burger King Hotel – Haryana</t>
  </si>
  <si>
    <t>Haryana</t>
  </si>
  <si>
    <t>OK</t>
  </si>
  <si>
    <t>BRANDHUT- 01</t>
  </si>
  <si>
    <t>Near Police Chowki, T Point Safido Road</t>
  </si>
  <si>
    <t>BRANDHUT- 02</t>
  </si>
  <si>
    <t>Gurugram</t>
  </si>
  <si>
    <t>Wall Of Pataudi Citizen Tailors</t>
  </si>
  <si>
    <t>BRANDHUT- 03</t>
  </si>
  <si>
    <t>Manesar Road Bhoran Kalan, Infront of UNM Kargo</t>
  </si>
  <si>
    <t>BRANDHUT- 04</t>
  </si>
  <si>
    <t>Wooden Street Showroom, Maneshar Rampura</t>
  </si>
  <si>
    <t>BRANDHUT- 05</t>
  </si>
  <si>
    <t>Charkhi Dadri, Gurugram – Haryana</t>
  </si>
  <si>
    <t>BRANDHUT- 06</t>
  </si>
  <si>
    <t>Vidhya Vihar Colony, Chakhri Dadri - Gurugram</t>
  </si>
  <si>
    <t>BRANDHUT- 07</t>
  </si>
  <si>
    <t>BRANDHUT- 08</t>
  </si>
  <si>
    <t>Hisar</t>
  </si>
  <si>
    <t>Ghursal Road, Hisar - Haryana</t>
  </si>
  <si>
    <t>BRANDHUT- 09</t>
  </si>
  <si>
    <t>Agroha - Haryana</t>
  </si>
  <si>
    <t>BRANDHUT- 10</t>
  </si>
  <si>
    <t>Plawal</t>
  </si>
  <si>
    <t>NH- 19 Rock Colony, Palwal - Haryana</t>
  </si>
  <si>
    <t>BRANDHUT- 11</t>
  </si>
  <si>
    <t>Total</t>
  </si>
  <si>
    <t xml:space="preserve"> </t>
  </si>
  <si>
    <t>Faridabad</t>
  </si>
  <si>
    <t>Tigaon Main Road, Faridabad - Haryana</t>
  </si>
  <si>
    <t>BRANDHUT- 12</t>
  </si>
  <si>
    <t>Bhoomi Enterprises Industries, Faridabad - Haryana</t>
  </si>
  <si>
    <t>BRANDHUT- 13</t>
  </si>
  <si>
    <t>Dhana, Hisar - Haryana</t>
  </si>
  <si>
    <t>BRANDHUT- 14</t>
  </si>
  <si>
    <t>UP</t>
  </si>
  <si>
    <t>Khatuli</t>
  </si>
  <si>
    <t>BrandHUT- 15</t>
  </si>
  <si>
    <t>Final Size of the Wall</t>
  </si>
  <si>
    <t>Billed - Haryana</t>
  </si>
  <si>
    <t>Billed - Ghaziabad</t>
  </si>
  <si>
    <t>To be Billed - Haryana</t>
  </si>
  <si>
    <t>Total ---&gt;&gt;&gt;</t>
  </si>
  <si>
    <t>Sq Ft</t>
  </si>
  <si>
    <t>Particular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</si>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</sst>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s.-4009]#,##0.00;[Red]\-[$Rs.-4009]#,##0.00"/>
    <numFmt numFmtId="165" formatCode="[$-4009]General"/>
    <numFmt numFmtId="166" formatCode="dd\-mm\-yy"/>
  </numFmts>
  <fonts count="15" x14ac:knownFonts="1">
    <font>
      <sz val="11"/>
      <color rgb="FF000000"/>
      <name val="Arial"/>
      <family val="2"/>
      <charset val="1"/>
    </font>
    <font>
      <sz val="11"/>
      <color rgb="FFCC0000"/>
      <name val="Arial"/>
      <family val="2"/>
      <charset val="1"/>
    </font>
    <font>
      <sz val="11"/>
      <color rgb="FF0066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b/>
      <sz val="15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CC0000"/>
      <name val="Arial"/>
      <family val="2"/>
      <charset val="1"/>
    </font>
    <font>
      <b/>
      <sz val="11"/>
      <color rgb="FF006600"/>
      <name val="Arial"/>
      <family val="2"/>
      <charset val="1"/>
    </font>
    <font>
      <sz val="11"/>
      <color rgb="FFFFFFFF"/>
      <name val="Arial"/>
      <family val="2"/>
      <charset val="1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CCC"/>
        <bgColor rgb="FFFFE994"/>
      </patternFill>
    </fill>
    <fill>
      <patternFill patternType="solid">
        <fgColor rgb="FFCCFFCC"/>
        <bgColor rgb="FFCCFFFF"/>
      </patternFill>
    </fill>
    <fill>
      <patternFill patternType="solid">
        <fgColor rgb="FFFFE994"/>
        <bgColor rgb="FFFFFFCC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0" fontId="1" fillId="2" borderId="0" applyBorder="0" applyProtection="0"/>
    <xf numFmtId="0" fontId="1" fillId="2" borderId="0" applyBorder="0" applyProtection="0"/>
    <xf numFmtId="0" fontId="2" fillId="3" borderId="0" applyBorder="0" applyProtection="0"/>
    <xf numFmtId="0" fontId="3" fillId="0" borderId="0" applyBorder="0" applyProtection="0">
      <alignment horizontal="center" textRotation="90"/>
    </xf>
    <xf numFmtId="0" fontId="3" fillId="0" borderId="0" applyBorder="0" applyProtection="0">
      <alignment horizontal="center"/>
    </xf>
    <xf numFmtId="0" fontId="4" fillId="0" borderId="0" applyBorder="0" applyProtection="0"/>
    <xf numFmtId="164" fontId="4" fillId="0" borderId="0" applyBorder="0" applyProtection="0"/>
    <xf numFmtId="165" fontId="6" fillId="0" borderId="0" applyBorder="0" applyProtection="0"/>
  </cellStyleXfs>
  <cellXfs count="62">
    <xf numFmtId="0" fontId="0" fillId="0" borderId="0" xfId="0"/>
    <xf numFmtId="165" fontId="7" fillId="4" borderId="1" xfId="8" applyFont="1" applyFill="1" applyBorder="1" applyAlignment="1" applyProtection="1">
      <alignment horizontal="center"/>
    </xf>
    <xf numFmtId="165" fontId="8" fillId="4" borderId="1" xfId="8" applyFont="1" applyFill="1" applyBorder="1" applyAlignment="1" applyProtection="1">
      <alignment horizontal="center" vertical="center" wrapText="1"/>
    </xf>
    <xf numFmtId="165" fontId="9" fillId="4" borderId="1" xfId="8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6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1" xfId="8" applyFont="1" applyBorder="1" applyAlignment="1" applyProtection="1">
      <alignment horizontal="center" vertical="center"/>
    </xf>
    <xf numFmtId="165" fontId="10" fillId="0" borderId="1" xfId="8" applyFont="1" applyBorder="1" applyAlignment="1" applyProtection="1">
      <alignment horizontal="center" vertical="center"/>
    </xf>
    <xf numFmtId="165" fontId="0" fillId="0" borderId="3" xfId="8" applyFont="1" applyBorder="1" applyAlignment="1" applyProtection="1">
      <alignment horizontal="center" vertical="center"/>
    </xf>
    <xf numFmtId="165" fontId="0" fillId="0" borderId="6" xfId="8" applyFont="1" applyBorder="1" applyAlignment="1" applyProtection="1">
      <alignment horizontal="center" vertical="center"/>
    </xf>
    <xf numFmtId="165" fontId="0" fillId="0" borderId="2" xfId="8" applyFont="1" applyBorder="1" applyAlignment="1" applyProtection="1">
      <alignment horizontal="center" vertical="center"/>
    </xf>
    <xf numFmtId="165" fontId="0" fillId="0" borderId="4" xfId="8" applyFont="1" applyBorder="1" applyProtection="1"/>
    <xf numFmtId="165" fontId="0" fillId="0" borderId="1" xfId="8" applyFont="1" applyBorder="1" applyProtection="1"/>
    <xf numFmtId="165" fontId="0" fillId="0" borderId="5" xfId="8" applyFont="1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0" fillId="0" borderId="2" xfId="8" applyFont="1" applyBorder="1" applyAlignment="1" applyProtection="1">
      <alignment horizontal="center" vertical="center"/>
    </xf>
    <xf numFmtId="165" fontId="10" fillId="0" borderId="5" xfId="8" applyFont="1" applyBorder="1" applyAlignment="1" applyProtection="1">
      <alignment horizontal="center" vertical="center"/>
    </xf>
    <xf numFmtId="165" fontId="10" fillId="0" borderId="1" xfId="8" applyFont="1" applyBorder="1" applyProtection="1"/>
    <xf numFmtId="165" fontId="10" fillId="0" borderId="1" xfId="8" applyFont="1" applyBorder="1" applyAlignment="1" applyProtection="1">
      <alignment vertical="center"/>
    </xf>
    <xf numFmtId="165" fontId="10" fillId="0" borderId="1" xfId="8" applyFont="1" applyBorder="1" applyAlignment="1" applyProtection="1">
      <alignment horizontal="right" vertical="center"/>
    </xf>
    <xf numFmtId="165" fontId="11" fillId="2" borderId="1" xfId="2" applyNumberFormat="1" applyFont="1" applyBorder="1" applyProtection="1"/>
    <xf numFmtId="0" fontId="10" fillId="0" borderId="5" xfId="8" applyNumberFormat="1" applyFont="1" applyBorder="1" applyAlignment="1" applyProtection="1">
      <alignment horizontal="right" vertical="center"/>
    </xf>
    <xf numFmtId="165" fontId="0" fillId="0" borderId="0" xfId="8" applyFont="1" applyBorder="1" applyAlignment="1" applyProtection="1">
      <alignment horizontal="center" vertical="center"/>
    </xf>
    <xf numFmtId="165" fontId="0" fillId="0" borderId="0" xfId="8" applyFont="1" applyBorder="1" applyProtection="1"/>
    <xf numFmtId="165" fontId="10" fillId="0" borderId="0" xfId="8" applyFont="1" applyBorder="1" applyProtection="1"/>
    <xf numFmtId="165" fontId="0" fillId="0" borderId="0" xfId="8" applyFont="1" applyBorder="1" applyAlignment="1" applyProtection="1">
      <alignment horizontal="right" vertical="center"/>
    </xf>
    <xf numFmtId="0" fontId="10" fillId="0" borderId="0" xfId="0" applyFont="1"/>
    <xf numFmtId="0" fontId="13" fillId="0" borderId="0" xfId="0" applyFont="1"/>
    <xf numFmtId="165" fontId="6" fillId="0" borderId="5" xfId="8" applyBorder="1" applyAlignment="1" applyProtection="1">
      <alignment horizontal="center" vertical="center"/>
    </xf>
    <xf numFmtId="0" fontId="0" fillId="0" borderId="10" xfId="0" applyBorder="1"/>
    <xf numFmtId="165" fontId="0" fillId="0" borderId="6" xfId="8" applyFont="1" applyBorder="1" applyProtection="1"/>
    <xf numFmtId="165" fontId="0" fillId="0" borderId="11" xfId="8" applyFont="1" applyBorder="1" applyProtection="1"/>
    <xf numFmtId="165" fontId="0" fillId="0" borderId="10" xfId="8" applyFont="1" applyBorder="1" applyProtection="1"/>
    <xf numFmtId="0" fontId="0" fillId="0" borderId="10" xfId="0" applyBorder="1" applyAlignment="1">
      <alignment horizontal="center" vertical="center"/>
    </xf>
    <xf numFmtId="165" fontId="0" fillId="0" borderId="0" xfId="0" applyNumberFormat="1"/>
    <xf numFmtId="0" fontId="12" fillId="3" borderId="0" xfId="3" applyFont="1" applyBorder="1" applyAlignment="1" applyProtection="1">
      <alignment horizontal="center"/>
    </xf>
    <xf numFmtId="165" fontId="7" fillId="4" borderId="3" xfId="8" applyFont="1" applyFill="1" applyBorder="1" applyAlignment="1" applyProtection="1">
      <alignment horizontal="center"/>
    </xf>
    <xf numFmtId="0" fontId="0" fillId="0" borderId="3" xfId="0" applyBorder="1" applyAlignment="1">
      <alignment vertical="center"/>
    </xf>
    <xf numFmtId="165" fontId="0" fillId="0" borderId="3" xfId="8" applyFont="1" applyBorder="1" applyProtection="1"/>
    <xf numFmtId="165" fontId="0" fillId="0" borderId="7" xfId="8" applyFont="1" applyBorder="1" applyProtection="1"/>
    <xf numFmtId="165" fontId="10" fillId="0" borderId="3" xfId="8" applyFont="1" applyBorder="1" applyAlignment="1" applyProtection="1">
      <alignment vertical="center"/>
    </xf>
    <xf numFmtId="165" fontId="8" fillId="4" borderId="10" xfId="8" applyFont="1" applyFill="1" applyBorder="1" applyAlignment="1" applyProtection="1">
      <alignment horizontal="center" vertical="center" wrapText="1"/>
    </xf>
    <xf numFmtId="0" fontId="0" fillId="0" borderId="10" xfId="0" applyBorder="1" applyAlignment="1">
      <alignment horizontal="center"/>
    </xf>
    <xf numFmtId="0" fontId="10" fillId="0" borderId="10" xfId="8" applyNumberFormat="1" applyFont="1" applyBorder="1" applyAlignment="1" applyProtection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5" fontId="5" fillId="4" borderId="1" xfId="8" applyFont="1" applyFill="1" applyBorder="1" applyAlignment="1" applyProtection="1">
      <alignment horizontal="center"/>
    </xf>
    <xf numFmtId="165" fontId="7" fillId="4" borderId="1" xfId="8" applyFont="1" applyFill="1" applyBorder="1" applyAlignment="1" applyProtection="1">
      <alignment horizontal="center"/>
    </xf>
    <xf numFmtId="165" fontId="10" fillId="0" borderId="1" xfId="8" applyFont="1" applyBorder="1" applyAlignment="1" applyProtection="1">
      <alignment horizontal="center" vertical="center"/>
    </xf>
    <xf numFmtId="1" fontId="12" fillId="3" borderId="0" xfId="3" applyNumberFormat="1" applyFont="1" applyBorder="1" applyAlignment="1" applyProtection="1">
      <alignment horizontal="center"/>
    </xf>
    <xf numFmtId="0" fontId="0" fillId="5" borderId="10" xfId="0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9">
    <cellStyle name="Bad 1" xfId="1" xr:uid="{00000000-0005-0000-0000-000000000000}"/>
    <cellStyle name="Bad 2" xfId="2" xr:uid="{00000000-0005-0000-0000-000001000000}"/>
    <cellStyle name="Excel Built-in Normal" xfId="8" xr:uid="{00000000-0005-0000-0000-000002000000}"/>
    <cellStyle name="Good 3" xfId="3" xr:uid="{00000000-0005-0000-0000-000003000000}"/>
    <cellStyle name="Heading 1 2" xfId="4" xr:uid="{00000000-0005-0000-0000-000004000000}"/>
    <cellStyle name="Heading 3" xfId="5" xr:uid="{00000000-0005-0000-0000-000005000000}"/>
    <cellStyle name="Normal" xfId="0" builtinId="0"/>
    <cellStyle name="Result 4" xfId="6" xr:uid="{00000000-0005-0000-0000-000007000000}"/>
    <cellStyle name="Result2" xfId="7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topLeftCell="D1" zoomScaleNormal="100" workbookViewId="0">
      <selection activeCell="F22" sqref="F22"/>
    </sheetView>
  </sheetViews>
  <sheetFormatPr baseColWidth="10" defaultColWidth="8.6640625" defaultRowHeight="14.25" customHeight="1" x14ac:dyDescent="0.15"/>
  <cols>
    <col min="1" max="1" width="4.6640625" customWidth="1"/>
    <col min="2" max="2" width="6.5" customWidth="1"/>
    <col min="3" max="3" width="16" customWidth="1"/>
    <col min="4" max="4" width="10.5" customWidth="1"/>
    <col min="5" max="5" width="11.6640625" customWidth="1"/>
    <col min="6" max="6" width="54.33203125" customWidth="1"/>
    <col min="7" max="7" width="14" customWidth="1"/>
    <col min="8" max="8" width="6.33203125" customWidth="1"/>
    <col min="9" max="10" width="11" customWidth="1"/>
    <col min="11" max="11" width="16.1640625" customWidth="1"/>
    <col min="12" max="12" width="10.5" customWidth="1"/>
    <col min="13" max="13" width="10.33203125" customWidth="1"/>
    <col min="14" max="14" width="13.1640625" customWidth="1"/>
    <col min="15" max="15" width="8.33203125" customWidth="1"/>
    <col min="17" max="17" width="4.5" customWidth="1"/>
    <col min="18" max="18" width="4" customWidth="1"/>
    <col min="19" max="19" width="13.6640625" customWidth="1"/>
  </cols>
  <sheetData>
    <row r="1" spans="1:19" ht="21" customHeight="1" x14ac:dyDescent="0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 t="s">
        <v>1</v>
      </c>
      <c r="R1" s="57"/>
    </row>
    <row r="2" spans="1:19" ht="39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3" t="s">
        <v>12</v>
      </c>
      <c r="L2" s="3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1" t="s">
        <v>18</v>
      </c>
      <c r="R2" s="46" t="s">
        <v>19</v>
      </c>
      <c r="S2" s="51" t="s">
        <v>62</v>
      </c>
    </row>
    <row r="3" spans="1:19" ht="15" customHeight="1" x14ac:dyDescent="0.15">
      <c r="A3" s="4">
        <v>1</v>
      </c>
      <c r="B3" s="4" t="s">
        <v>20</v>
      </c>
      <c r="C3" s="5" t="s">
        <v>21</v>
      </c>
      <c r="D3" s="4" t="s">
        <v>22</v>
      </c>
      <c r="E3" s="4" t="s">
        <v>23</v>
      </c>
      <c r="F3" s="6" t="s">
        <v>24</v>
      </c>
      <c r="G3" s="4" t="s">
        <v>25</v>
      </c>
      <c r="H3" s="4" t="s">
        <v>26</v>
      </c>
      <c r="I3" s="4">
        <v>29.281452000000002</v>
      </c>
      <c r="J3" s="4">
        <v>76.305143999999999</v>
      </c>
      <c r="K3" s="4" t="s">
        <v>27</v>
      </c>
      <c r="L3" s="7"/>
      <c r="M3" s="9"/>
      <c r="N3" s="4"/>
      <c r="O3" s="4"/>
      <c r="P3" s="10">
        <f>Q3*R3</f>
        <v>5668</v>
      </c>
      <c r="Q3" s="8">
        <v>109</v>
      </c>
      <c r="R3" s="47">
        <v>52</v>
      </c>
      <c r="S3" s="60">
        <f>P3-(SUM(O4:O7))</f>
        <v>4993</v>
      </c>
    </row>
    <row r="4" spans="1:19" ht="15" customHeight="1" x14ac:dyDescent="0.15">
      <c r="A4" s="4"/>
      <c r="B4" s="4"/>
      <c r="C4" s="5"/>
      <c r="D4" s="4"/>
      <c r="E4" s="4"/>
      <c r="F4" s="6"/>
      <c r="G4" s="4"/>
      <c r="H4" s="4"/>
      <c r="I4" s="4"/>
      <c r="J4" s="4"/>
      <c r="K4" s="4"/>
      <c r="L4" s="7"/>
      <c r="M4" s="9"/>
      <c r="N4" s="4"/>
      <c r="O4" s="7">
        <f>Q4*R4</f>
        <v>195</v>
      </c>
      <c r="P4" s="11"/>
      <c r="Q4" s="12">
        <v>13</v>
      </c>
      <c r="R4" s="47">
        <v>15</v>
      </c>
      <c r="S4" s="60"/>
    </row>
    <row r="5" spans="1:19" ht="15" customHeight="1" x14ac:dyDescent="0.15">
      <c r="A5" s="4"/>
      <c r="B5" s="4"/>
      <c r="C5" s="5"/>
      <c r="D5" s="4"/>
      <c r="E5" s="4"/>
      <c r="F5" s="6"/>
      <c r="G5" s="4"/>
      <c r="H5" s="4"/>
      <c r="I5" s="4"/>
      <c r="J5" s="4"/>
      <c r="K5" s="4"/>
      <c r="L5" s="7"/>
      <c r="M5" s="9"/>
      <c r="N5" s="4"/>
      <c r="O5" s="7">
        <f>Q5*R5</f>
        <v>120</v>
      </c>
      <c r="P5" s="11"/>
      <c r="Q5" s="12">
        <v>8</v>
      </c>
      <c r="R5" s="47">
        <v>15</v>
      </c>
      <c r="S5" s="60"/>
    </row>
    <row r="6" spans="1:19" ht="15" customHeight="1" x14ac:dyDescent="0.15">
      <c r="A6" s="4"/>
      <c r="B6" s="4"/>
      <c r="C6" s="5"/>
      <c r="D6" s="4"/>
      <c r="E6" s="4"/>
      <c r="F6" s="6"/>
      <c r="G6" s="4"/>
      <c r="H6" s="4"/>
      <c r="I6" s="4"/>
      <c r="J6" s="4"/>
      <c r="K6" s="4"/>
      <c r="L6" s="7"/>
      <c r="M6" s="9"/>
      <c r="N6" s="4"/>
      <c r="O6" s="7">
        <f>Q6*R6</f>
        <v>270</v>
      </c>
      <c r="P6" s="11"/>
      <c r="Q6" s="12">
        <v>15</v>
      </c>
      <c r="R6" s="47">
        <v>18</v>
      </c>
      <c r="S6" s="60"/>
    </row>
    <row r="7" spans="1:19" ht="15" customHeight="1" x14ac:dyDescent="0.15">
      <c r="A7" s="4"/>
      <c r="B7" s="4"/>
      <c r="C7" s="5"/>
      <c r="D7" s="4"/>
      <c r="E7" s="4"/>
      <c r="F7" s="6"/>
      <c r="G7" s="4"/>
      <c r="H7" s="4"/>
      <c r="I7" s="4"/>
      <c r="J7" s="4"/>
      <c r="K7" s="4"/>
      <c r="L7" s="7"/>
      <c r="M7" s="9"/>
      <c r="N7" s="4"/>
      <c r="O7" s="7">
        <f>Q7*R7</f>
        <v>90</v>
      </c>
      <c r="P7" s="11"/>
      <c r="Q7" s="12">
        <v>5</v>
      </c>
      <c r="R7" s="47">
        <v>18</v>
      </c>
      <c r="S7" s="60"/>
    </row>
    <row r="8" spans="1:19" ht="15" customHeight="1" x14ac:dyDescent="0.15">
      <c r="A8" s="4">
        <v>2</v>
      </c>
      <c r="B8" s="4" t="s">
        <v>20</v>
      </c>
      <c r="C8" s="5" t="s">
        <v>21</v>
      </c>
      <c r="D8" s="4" t="s">
        <v>22</v>
      </c>
      <c r="E8" s="4" t="s">
        <v>23</v>
      </c>
      <c r="F8" s="6" t="s">
        <v>28</v>
      </c>
      <c r="G8" s="4" t="s">
        <v>25</v>
      </c>
      <c r="H8" s="4" t="s">
        <v>26</v>
      </c>
      <c r="I8" s="4">
        <v>29.305468000000001</v>
      </c>
      <c r="J8" s="4">
        <v>76.28792</v>
      </c>
      <c r="K8" s="4" t="s">
        <v>29</v>
      </c>
      <c r="L8" s="7"/>
      <c r="M8" s="9"/>
      <c r="N8" s="4">
        <v>9034378176</v>
      </c>
      <c r="O8" s="4"/>
      <c r="P8" s="13">
        <f>Q8*R8</f>
        <v>5166</v>
      </c>
      <c r="Q8" s="8">
        <v>123</v>
      </c>
      <c r="R8" s="47">
        <v>42</v>
      </c>
      <c r="S8" s="60">
        <f>P8-O9</f>
        <v>4516</v>
      </c>
    </row>
    <row r="9" spans="1:19" ht="15" customHeight="1" x14ac:dyDescent="0.15">
      <c r="A9" s="4"/>
      <c r="B9" s="4"/>
      <c r="C9" s="5"/>
      <c r="D9" s="4"/>
      <c r="E9" s="4"/>
      <c r="F9" s="6"/>
      <c r="G9" s="4"/>
      <c r="H9" s="4"/>
      <c r="I9" s="4"/>
      <c r="J9" s="4"/>
      <c r="K9" s="4"/>
      <c r="L9" s="7"/>
      <c r="M9" s="9"/>
      <c r="N9" s="4"/>
      <c r="O9" s="4">
        <f>Q9*R9</f>
        <v>650</v>
      </c>
      <c r="Q9" s="8">
        <v>50</v>
      </c>
      <c r="R9" s="47">
        <v>13</v>
      </c>
      <c r="S9" s="60"/>
    </row>
    <row r="10" spans="1:19" ht="14.25" customHeight="1" x14ac:dyDescent="0.15">
      <c r="A10" s="4">
        <v>3</v>
      </c>
      <c r="B10" s="4" t="s">
        <v>20</v>
      </c>
      <c r="C10" s="5" t="s">
        <v>21</v>
      </c>
      <c r="D10" s="4" t="s">
        <v>22</v>
      </c>
      <c r="E10" s="4" t="s">
        <v>30</v>
      </c>
      <c r="F10" s="6" t="s">
        <v>31</v>
      </c>
      <c r="G10" s="4" t="s">
        <v>25</v>
      </c>
      <c r="H10" s="4" t="s">
        <v>26</v>
      </c>
      <c r="I10" s="4">
        <v>28.336542000000001</v>
      </c>
      <c r="J10" s="4">
        <v>76.769711999999998</v>
      </c>
      <c r="K10" s="4" t="s">
        <v>32</v>
      </c>
      <c r="L10" s="7"/>
      <c r="M10" s="9"/>
      <c r="N10" s="4">
        <v>9817161782</v>
      </c>
      <c r="O10" s="4"/>
      <c r="P10" s="4">
        <f>Q10*R10</f>
        <v>7436</v>
      </c>
      <c r="Q10" s="8">
        <v>143</v>
      </c>
      <c r="R10" s="47">
        <v>52</v>
      </c>
      <c r="S10" s="60">
        <f>P10-O11</f>
        <v>6266</v>
      </c>
    </row>
    <row r="11" spans="1:19" ht="14.25" customHeight="1" x14ac:dyDescent="0.15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7"/>
      <c r="M11" s="9"/>
      <c r="N11" s="4"/>
      <c r="O11" s="4">
        <f>Q11*R11</f>
        <v>1170</v>
      </c>
      <c r="Q11" s="8">
        <v>90</v>
      </c>
      <c r="R11" s="47">
        <v>13</v>
      </c>
      <c r="S11" s="60"/>
    </row>
    <row r="12" spans="1:19" ht="14.25" customHeight="1" x14ac:dyDescent="0.15">
      <c r="A12" s="4">
        <v>4</v>
      </c>
      <c r="B12" s="4" t="s">
        <v>20</v>
      </c>
      <c r="C12" s="5" t="s">
        <v>21</v>
      </c>
      <c r="D12" s="4" t="s">
        <v>22</v>
      </c>
      <c r="E12" s="4" t="s">
        <v>30</v>
      </c>
      <c r="F12" s="4" t="s">
        <v>33</v>
      </c>
      <c r="G12" s="4" t="s">
        <v>25</v>
      </c>
      <c r="H12" s="4" t="s">
        <v>26</v>
      </c>
      <c r="I12" s="4">
        <v>28.303546000000001</v>
      </c>
      <c r="J12" s="4">
        <v>76.827482000000003</v>
      </c>
      <c r="K12" s="4" t="s">
        <v>34</v>
      </c>
      <c r="L12" s="7"/>
      <c r="M12" s="9"/>
      <c r="N12" s="4">
        <v>7056097663</v>
      </c>
      <c r="O12" s="4"/>
      <c r="P12" s="4">
        <f>Q12*R12</f>
        <v>5445</v>
      </c>
      <c r="Q12" s="8">
        <v>165</v>
      </c>
      <c r="R12" s="47">
        <v>33</v>
      </c>
      <c r="S12" s="60">
        <f>P12+P13</f>
        <v>5589</v>
      </c>
    </row>
    <row r="13" spans="1:19" ht="14.25" customHeight="1" x14ac:dyDescent="0.15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7"/>
      <c r="M13" s="9"/>
      <c r="N13" s="4"/>
      <c r="O13" s="4"/>
      <c r="P13" s="4">
        <f>Q13*R13</f>
        <v>144</v>
      </c>
      <c r="Q13" s="8">
        <v>18</v>
      </c>
      <c r="R13" s="47">
        <v>8</v>
      </c>
      <c r="S13" s="60"/>
    </row>
    <row r="14" spans="1:19" ht="14.25" customHeight="1" x14ac:dyDescent="0.15">
      <c r="A14" s="4">
        <v>5</v>
      </c>
      <c r="B14" s="4" t="s">
        <v>20</v>
      </c>
      <c r="C14" s="5" t="s">
        <v>21</v>
      </c>
      <c r="D14" s="4" t="s">
        <v>22</v>
      </c>
      <c r="E14" s="4" t="s">
        <v>30</v>
      </c>
      <c r="F14" s="4" t="s">
        <v>35</v>
      </c>
      <c r="G14" s="4" t="s">
        <v>25</v>
      </c>
      <c r="H14" s="4" t="s">
        <v>26</v>
      </c>
      <c r="I14" s="4">
        <v>28.380917</v>
      </c>
      <c r="J14" s="4">
        <v>76.964504000000005</v>
      </c>
      <c r="K14" s="4" t="s">
        <v>36</v>
      </c>
      <c r="L14" s="7"/>
      <c r="M14" s="9"/>
      <c r="N14" s="4">
        <v>9999984550</v>
      </c>
      <c r="O14" s="4"/>
      <c r="P14" s="4">
        <f>Q14*R14</f>
        <v>8910</v>
      </c>
      <c r="Q14" s="8">
        <v>198</v>
      </c>
      <c r="R14" s="47">
        <v>45</v>
      </c>
      <c r="S14" s="60">
        <f>(SUM(P14:P16)-O17)</f>
        <v>8120</v>
      </c>
    </row>
    <row r="15" spans="1:19" ht="14.25" customHeight="1" x14ac:dyDescent="0.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7"/>
      <c r="M15" s="9"/>
      <c r="N15" s="4"/>
      <c r="O15" s="4"/>
      <c r="P15" s="4">
        <f>Q15*R15</f>
        <v>50</v>
      </c>
      <c r="Q15" s="8">
        <v>10</v>
      </c>
      <c r="R15" s="47">
        <v>5</v>
      </c>
      <c r="S15" s="60"/>
    </row>
    <row r="16" spans="1:19" ht="14.25" customHeight="1" x14ac:dyDescent="0.15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7"/>
      <c r="M16" s="9"/>
      <c r="N16" s="4"/>
      <c r="O16" s="4"/>
      <c r="P16" s="4">
        <f>Q16*R16</f>
        <v>150</v>
      </c>
      <c r="Q16" s="8">
        <v>10</v>
      </c>
      <c r="R16" s="47">
        <v>15</v>
      </c>
      <c r="S16" s="60"/>
    </row>
    <row r="17" spans="1:19" ht="14.25" customHeight="1" x14ac:dyDescent="0.15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7"/>
      <c r="M17" s="9"/>
      <c r="N17" s="4"/>
      <c r="O17" s="4">
        <f>Q17*R17</f>
        <v>990</v>
      </c>
      <c r="Q17" s="8">
        <v>198</v>
      </c>
      <c r="R17" s="47">
        <v>5</v>
      </c>
      <c r="S17" s="60"/>
    </row>
    <row r="18" spans="1:19" ht="14.25" customHeight="1" x14ac:dyDescent="0.15">
      <c r="A18" s="4">
        <v>6</v>
      </c>
      <c r="B18" s="4" t="s">
        <v>20</v>
      </c>
      <c r="C18" s="5" t="s">
        <v>21</v>
      </c>
      <c r="D18" s="4" t="s">
        <v>22</v>
      </c>
      <c r="E18" s="4" t="s">
        <v>30</v>
      </c>
      <c r="F18" s="4" t="s">
        <v>37</v>
      </c>
      <c r="G18" s="4" t="s">
        <v>25</v>
      </c>
      <c r="H18" s="4" t="s">
        <v>26</v>
      </c>
      <c r="I18" s="4">
        <v>28.584076</v>
      </c>
      <c r="J18" s="4">
        <v>76.275452999999999</v>
      </c>
      <c r="K18" s="4" t="s">
        <v>38</v>
      </c>
      <c r="L18" s="7"/>
      <c r="M18" s="9"/>
      <c r="N18" s="4"/>
      <c r="O18" s="4"/>
      <c r="P18" s="10">
        <f>Q18*R18</f>
        <v>3450</v>
      </c>
      <c r="Q18" s="8">
        <v>115</v>
      </c>
      <c r="R18" s="47">
        <v>30</v>
      </c>
      <c r="S18" s="60">
        <f>P18-O19</f>
        <v>3208</v>
      </c>
    </row>
    <row r="19" spans="1:19" ht="14" x14ac:dyDescent="0.15">
      <c r="A19" s="14"/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6"/>
      <c r="M19" s="17"/>
      <c r="N19" s="18"/>
      <c r="O19" s="7">
        <f>Q19*R19</f>
        <v>242</v>
      </c>
      <c r="P19" s="11"/>
      <c r="Q19" s="19">
        <v>22</v>
      </c>
      <c r="R19" s="48">
        <v>11</v>
      </c>
      <c r="S19" s="60"/>
    </row>
    <row r="20" spans="1:19" ht="14" x14ac:dyDescent="0.15">
      <c r="A20" s="14">
        <v>7</v>
      </c>
      <c r="B20" s="14" t="s">
        <v>20</v>
      </c>
      <c r="C20" s="15" t="s">
        <v>21</v>
      </c>
      <c r="D20" s="14" t="s">
        <v>22</v>
      </c>
      <c r="E20" s="14" t="s">
        <v>30</v>
      </c>
      <c r="F20" s="14" t="s">
        <v>39</v>
      </c>
      <c r="G20" s="14" t="s">
        <v>25</v>
      </c>
      <c r="H20" s="14" t="s">
        <v>26</v>
      </c>
      <c r="I20" s="14">
        <v>28.593291000000001</v>
      </c>
      <c r="J20" s="14">
        <v>76.284385999999998</v>
      </c>
      <c r="K20" s="4" t="s">
        <v>40</v>
      </c>
      <c r="L20" s="14"/>
      <c r="M20" s="14"/>
      <c r="N20" s="14"/>
      <c r="O20" s="22"/>
      <c r="P20" s="10">
        <f>Q20*R20</f>
        <v>3822</v>
      </c>
      <c r="Q20" s="19">
        <v>98</v>
      </c>
      <c r="R20" s="48">
        <v>39</v>
      </c>
      <c r="S20" s="60">
        <f>SUM(P20:P23)-O24</f>
        <v>3807</v>
      </c>
    </row>
    <row r="21" spans="1:19" ht="14" x14ac:dyDescent="0.15">
      <c r="A21" s="14"/>
      <c r="B21" s="14"/>
      <c r="C21" s="15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22"/>
      <c r="P21" s="10">
        <f>Q21*R21</f>
        <v>80</v>
      </c>
      <c r="Q21" s="19">
        <v>20</v>
      </c>
      <c r="R21" s="48">
        <v>4</v>
      </c>
      <c r="S21" s="60"/>
    </row>
    <row r="22" spans="1:19" ht="14" x14ac:dyDescent="0.15">
      <c r="A22" s="14"/>
      <c r="B22" s="14"/>
      <c r="C22" s="15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22"/>
      <c r="P22" s="10">
        <f>Q22*R22</f>
        <v>100</v>
      </c>
      <c r="Q22" s="19">
        <v>10</v>
      </c>
      <c r="R22" s="48">
        <v>10</v>
      </c>
      <c r="S22" s="60"/>
    </row>
    <row r="23" spans="1:19" ht="14" x14ac:dyDescent="0.15">
      <c r="A23" s="14"/>
      <c r="B23" s="14"/>
      <c r="C23" s="15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22"/>
      <c r="P23" s="10">
        <f>Q23*R23</f>
        <v>50</v>
      </c>
      <c r="Q23" s="19">
        <v>10</v>
      </c>
      <c r="R23" s="48">
        <v>5</v>
      </c>
      <c r="S23" s="60"/>
    </row>
    <row r="24" spans="1:19" ht="14" x14ac:dyDescent="0.15">
      <c r="A24" s="14"/>
      <c r="B24" s="14"/>
      <c r="C24" s="1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23">
        <f>Q24*R24</f>
        <v>245</v>
      </c>
      <c r="P24" s="11"/>
      <c r="Q24" s="19">
        <v>35</v>
      </c>
      <c r="R24" s="48">
        <v>7</v>
      </c>
      <c r="S24" s="60"/>
    </row>
    <row r="25" spans="1:19" ht="14" x14ac:dyDescent="0.15">
      <c r="A25" s="14">
        <v>8</v>
      </c>
      <c r="B25" s="14" t="s">
        <v>20</v>
      </c>
      <c r="C25" s="15" t="s">
        <v>21</v>
      </c>
      <c r="D25" s="14" t="s">
        <v>22</v>
      </c>
      <c r="E25" s="14" t="s">
        <v>30</v>
      </c>
      <c r="F25" s="14" t="s">
        <v>39</v>
      </c>
      <c r="G25" s="14" t="s">
        <v>25</v>
      </c>
      <c r="H25" s="14" t="s">
        <v>26</v>
      </c>
      <c r="I25" s="14">
        <v>28.592949999999998</v>
      </c>
      <c r="J25" s="14">
        <v>76.284701999999996</v>
      </c>
      <c r="K25" s="4" t="s">
        <v>41</v>
      </c>
      <c r="L25" s="14"/>
      <c r="M25" s="14"/>
      <c r="N25" s="14"/>
      <c r="O25" s="23"/>
      <c r="P25" s="10">
        <f t="shared" ref="P25:P37" si="0">Q25*R25</f>
        <v>3430</v>
      </c>
      <c r="Q25" s="19">
        <v>98</v>
      </c>
      <c r="R25" s="48">
        <v>35</v>
      </c>
      <c r="S25" s="60">
        <f>SUM(P25:P26)</f>
        <v>3580</v>
      </c>
    </row>
    <row r="26" spans="1:19" ht="14" x14ac:dyDescent="0.15">
      <c r="A26" s="14"/>
      <c r="B26" s="14"/>
      <c r="C26" s="15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23"/>
      <c r="P26" s="10">
        <f t="shared" si="0"/>
        <v>150</v>
      </c>
      <c r="Q26" s="19">
        <v>25</v>
      </c>
      <c r="R26" s="48">
        <v>6</v>
      </c>
      <c r="S26" s="60"/>
    </row>
    <row r="27" spans="1:19" ht="14" x14ac:dyDescent="0.15">
      <c r="A27" s="14">
        <v>9</v>
      </c>
      <c r="B27" s="14" t="s">
        <v>20</v>
      </c>
      <c r="C27" s="15" t="s">
        <v>21</v>
      </c>
      <c r="D27" s="14" t="s">
        <v>22</v>
      </c>
      <c r="E27" s="14" t="s">
        <v>42</v>
      </c>
      <c r="F27" s="14" t="s">
        <v>43</v>
      </c>
      <c r="G27" s="14" t="s">
        <v>25</v>
      </c>
      <c r="H27" s="14" t="s">
        <v>26</v>
      </c>
      <c r="I27" s="14">
        <v>29.288820999999999</v>
      </c>
      <c r="J27" s="14">
        <v>75.643100000000004</v>
      </c>
      <c r="K27" s="4" t="s">
        <v>44</v>
      </c>
      <c r="L27" s="14"/>
      <c r="M27" s="21"/>
      <c r="N27" s="21"/>
      <c r="O27" s="24"/>
      <c r="P27" s="10">
        <f t="shared" si="0"/>
        <v>5490</v>
      </c>
      <c r="Q27" s="19">
        <v>183</v>
      </c>
      <c r="R27" s="48">
        <v>30</v>
      </c>
      <c r="S27" s="54">
        <f>P27</f>
        <v>5490</v>
      </c>
    </row>
    <row r="28" spans="1:19" ht="14" x14ac:dyDescent="0.15">
      <c r="A28" s="18">
        <v>10</v>
      </c>
      <c r="B28" s="18" t="s">
        <v>20</v>
      </c>
      <c r="C28" s="25" t="s">
        <v>21</v>
      </c>
      <c r="D28" s="18" t="s">
        <v>22</v>
      </c>
      <c r="E28" s="18" t="s">
        <v>42</v>
      </c>
      <c r="F28" s="18" t="s">
        <v>45</v>
      </c>
      <c r="G28" s="18" t="s">
        <v>25</v>
      </c>
      <c r="H28" s="18" t="s">
        <v>26</v>
      </c>
      <c r="I28" s="18">
        <v>29.918513000000001</v>
      </c>
      <c r="J28" s="18">
        <v>75.638350000000003</v>
      </c>
      <c r="K28" s="10" t="s">
        <v>46</v>
      </c>
      <c r="L28" s="14"/>
      <c r="M28" s="14"/>
      <c r="N28" s="14"/>
      <c r="O28" s="24"/>
      <c r="P28" s="10">
        <f t="shared" si="0"/>
        <v>2257</v>
      </c>
      <c r="Q28" s="19">
        <v>74</v>
      </c>
      <c r="R28" s="48">
        <v>30.5</v>
      </c>
      <c r="S28" s="60">
        <f>SUM(P28:P30)</f>
        <v>2367</v>
      </c>
    </row>
    <row r="29" spans="1:19" ht="14" x14ac:dyDescent="0.1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M29" s="14"/>
      <c r="N29" s="14"/>
      <c r="O29" s="24"/>
      <c r="P29" s="10">
        <f t="shared" si="0"/>
        <v>60</v>
      </c>
      <c r="Q29" s="19">
        <v>12</v>
      </c>
      <c r="R29" s="48">
        <v>5</v>
      </c>
      <c r="S29" s="60"/>
    </row>
    <row r="30" spans="1:19" ht="14" x14ac:dyDescent="0.15">
      <c r="A30" s="21"/>
      <c r="B30" s="21"/>
      <c r="C30" s="26"/>
      <c r="D30" s="21"/>
      <c r="E30" s="21"/>
      <c r="F30" s="21"/>
      <c r="G30" s="21"/>
      <c r="H30" s="21"/>
      <c r="I30" s="21"/>
      <c r="J30" s="21"/>
      <c r="K30" s="21"/>
      <c r="L30" s="14"/>
      <c r="M30" s="14"/>
      <c r="N30" s="14"/>
      <c r="O30" s="24"/>
      <c r="P30" s="10">
        <f t="shared" si="0"/>
        <v>50</v>
      </c>
      <c r="Q30" s="19">
        <v>10</v>
      </c>
      <c r="R30" s="48">
        <v>5</v>
      </c>
      <c r="S30" s="60"/>
    </row>
    <row r="31" spans="1:19" ht="14" x14ac:dyDescent="0.15">
      <c r="A31" s="14">
        <v>11</v>
      </c>
      <c r="B31" s="14" t="s">
        <v>20</v>
      </c>
      <c r="C31" s="15" t="s">
        <v>21</v>
      </c>
      <c r="D31" s="14" t="s">
        <v>22</v>
      </c>
      <c r="E31" s="14" t="s">
        <v>47</v>
      </c>
      <c r="F31" s="14" t="s">
        <v>48</v>
      </c>
      <c r="G31" s="14" t="s">
        <v>25</v>
      </c>
      <c r="H31" s="14" t="s">
        <v>26</v>
      </c>
      <c r="I31" s="14">
        <v>28.155318000000001</v>
      </c>
      <c r="J31" s="14">
        <v>77.326993999999999</v>
      </c>
      <c r="K31" s="4" t="s">
        <v>49</v>
      </c>
      <c r="L31" s="14"/>
      <c r="M31" s="14"/>
      <c r="N31" s="14">
        <v>8168464827</v>
      </c>
      <c r="O31" s="7"/>
      <c r="P31" s="10">
        <f t="shared" si="0"/>
        <v>7585</v>
      </c>
      <c r="Q31" s="19">
        <v>185</v>
      </c>
      <c r="R31" s="48">
        <v>41</v>
      </c>
      <c r="S31" s="60">
        <f>P31-O32</f>
        <v>7553</v>
      </c>
    </row>
    <row r="32" spans="1:19" ht="14" x14ac:dyDescent="0.15">
      <c r="A32" s="14"/>
      <c r="B32" s="14"/>
      <c r="C32" s="15"/>
      <c r="D32" s="14"/>
      <c r="E32" s="14"/>
      <c r="F32" s="14"/>
      <c r="G32" s="14"/>
      <c r="H32" s="14"/>
      <c r="I32" s="14"/>
      <c r="J32" s="14"/>
      <c r="K32" s="4"/>
      <c r="L32" s="14"/>
      <c r="M32" s="14"/>
      <c r="N32" s="14"/>
      <c r="O32" s="7">
        <f>Q32*R32</f>
        <v>32</v>
      </c>
      <c r="P32" s="39"/>
      <c r="Q32" s="19">
        <v>8</v>
      </c>
      <c r="R32" s="48">
        <v>4</v>
      </c>
      <c r="S32" s="60"/>
    </row>
    <row r="33" spans="1:21" ht="14" x14ac:dyDescent="0.15">
      <c r="A33" s="14">
        <v>12</v>
      </c>
      <c r="B33" s="14" t="s">
        <v>20</v>
      </c>
      <c r="C33" s="15" t="s">
        <v>21</v>
      </c>
      <c r="D33" s="14" t="s">
        <v>22</v>
      </c>
      <c r="E33" s="14" t="s">
        <v>52</v>
      </c>
      <c r="F33" s="14" t="s">
        <v>53</v>
      </c>
      <c r="G33" s="14" t="s">
        <v>25</v>
      </c>
      <c r="H33" s="14" t="s">
        <v>26</v>
      </c>
      <c r="I33" s="14">
        <v>28.358861000000001</v>
      </c>
      <c r="J33" s="14">
        <v>77.392830000000004</v>
      </c>
      <c r="K33" s="4" t="s">
        <v>54</v>
      </c>
      <c r="L33" s="14"/>
      <c r="M33" s="14"/>
      <c r="N33" s="14">
        <v>9990761573</v>
      </c>
      <c r="O33" s="7"/>
      <c r="P33" s="10">
        <f t="shared" si="0"/>
        <v>3900</v>
      </c>
      <c r="Q33" s="19">
        <v>156</v>
      </c>
      <c r="R33" s="48">
        <v>25</v>
      </c>
      <c r="S33" s="54">
        <f>P33</f>
        <v>3900</v>
      </c>
    </row>
    <row r="34" spans="1:21" ht="14" x14ac:dyDescent="0.15">
      <c r="A34" s="14">
        <v>13</v>
      </c>
      <c r="B34" s="14" t="s">
        <v>20</v>
      </c>
      <c r="C34" s="15" t="s">
        <v>21</v>
      </c>
      <c r="D34" s="14" t="s">
        <v>22</v>
      </c>
      <c r="E34" s="14" t="s">
        <v>52</v>
      </c>
      <c r="F34" s="14" t="s">
        <v>55</v>
      </c>
      <c r="G34" s="14" t="s">
        <v>25</v>
      </c>
      <c r="H34" s="14" t="s">
        <v>26</v>
      </c>
      <c r="I34" s="14">
        <v>28.387743</v>
      </c>
      <c r="J34" s="14">
        <v>77.284650999999997</v>
      </c>
      <c r="K34" s="4" t="s">
        <v>56</v>
      </c>
      <c r="L34" s="14"/>
      <c r="M34" s="14"/>
      <c r="N34" s="14"/>
      <c r="O34" s="7"/>
      <c r="P34" s="10">
        <f t="shared" si="0"/>
        <v>10230</v>
      </c>
      <c r="Q34" s="40">
        <v>165</v>
      </c>
      <c r="R34" s="48">
        <v>62</v>
      </c>
      <c r="S34" s="60">
        <f>P34-O35</f>
        <v>9282</v>
      </c>
    </row>
    <row r="35" spans="1:21" ht="14" x14ac:dyDescent="0.15">
      <c r="A35" s="14"/>
      <c r="B35" s="14"/>
      <c r="C35" s="15"/>
      <c r="D35" s="14"/>
      <c r="E35" s="14"/>
      <c r="F35" s="14"/>
      <c r="G35" s="14"/>
      <c r="H35" s="14"/>
      <c r="I35" s="14"/>
      <c r="J35" s="14"/>
      <c r="K35" s="4"/>
      <c r="L35" s="14"/>
      <c r="M35" s="14"/>
      <c r="N35" s="14"/>
      <c r="O35" s="24">
        <f>Q35*R35</f>
        <v>948</v>
      </c>
      <c r="P35" s="39"/>
      <c r="Q35" s="42">
        <v>79</v>
      </c>
      <c r="R35" s="49">
        <v>12</v>
      </c>
      <c r="S35" s="60"/>
    </row>
    <row r="36" spans="1:21" ht="14" x14ac:dyDescent="0.15">
      <c r="A36" s="14">
        <v>14</v>
      </c>
      <c r="B36" s="14" t="s">
        <v>20</v>
      </c>
      <c r="C36" s="15" t="s">
        <v>21</v>
      </c>
      <c r="D36" s="14" t="s">
        <v>22</v>
      </c>
      <c r="E36" s="14" t="s">
        <v>42</v>
      </c>
      <c r="F36" s="14" t="s">
        <v>57</v>
      </c>
      <c r="G36" s="14" t="s">
        <v>25</v>
      </c>
      <c r="H36" s="14" t="s">
        <v>26</v>
      </c>
      <c r="I36" s="14">
        <v>29.090191000000001</v>
      </c>
      <c r="J36" s="14">
        <v>76.000202000000002</v>
      </c>
      <c r="K36" s="4" t="s">
        <v>58</v>
      </c>
      <c r="L36" s="14"/>
      <c r="M36" s="14"/>
      <c r="N36" s="14"/>
      <c r="O36" s="24"/>
      <c r="P36" s="43">
        <f t="shared" si="0"/>
        <v>5120</v>
      </c>
      <c r="Q36" s="42">
        <v>160</v>
      </c>
      <c r="R36" s="49">
        <v>32</v>
      </c>
      <c r="S36" s="54">
        <f>P36</f>
        <v>5120</v>
      </c>
    </row>
    <row r="37" spans="1:21" ht="14" x14ac:dyDescent="0.15">
      <c r="A37" s="14">
        <v>15</v>
      </c>
      <c r="B37" s="14" t="s">
        <v>20</v>
      </c>
      <c r="C37" s="15" t="s">
        <v>21</v>
      </c>
      <c r="D37" s="14" t="s">
        <v>59</v>
      </c>
      <c r="E37" s="14"/>
      <c r="F37" s="14" t="s">
        <v>60</v>
      </c>
      <c r="G37" s="14" t="s">
        <v>59</v>
      </c>
      <c r="H37" s="14" t="s">
        <v>26</v>
      </c>
      <c r="I37" s="14"/>
      <c r="J37" s="14"/>
      <c r="K37" s="4" t="s">
        <v>61</v>
      </c>
      <c r="L37" s="14"/>
      <c r="M37" s="14"/>
      <c r="N37" s="14"/>
      <c r="O37" s="7"/>
      <c r="P37" s="43">
        <f t="shared" si="0"/>
        <v>1920</v>
      </c>
      <c r="Q37" s="42">
        <v>60</v>
      </c>
      <c r="R37" s="49">
        <v>32</v>
      </c>
      <c r="S37" s="54">
        <f>P37</f>
        <v>1920</v>
      </c>
    </row>
    <row r="38" spans="1:21" ht="14.25" customHeight="1" x14ac:dyDescent="0.15">
      <c r="A38" s="14"/>
      <c r="B38" s="14"/>
      <c r="C38" s="1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7"/>
      <c r="P38" s="38"/>
      <c r="Q38" s="41"/>
      <c r="R38" s="48"/>
      <c r="S38" s="52"/>
    </row>
    <row r="39" spans="1:21" ht="14" x14ac:dyDescent="0.15">
      <c r="A39" s="14"/>
      <c r="B39" s="20"/>
      <c r="C39" s="27"/>
      <c r="D39" s="20"/>
      <c r="E39" s="20"/>
      <c r="F39" s="20"/>
      <c r="G39" s="20"/>
      <c r="H39" s="20"/>
      <c r="I39" s="20"/>
      <c r="J39" s="58" t="s">
        <v>50</v>
      </c>
      <c r="K39" s="58"/>
      <c r="L39" s="58"/>
      <c r="M39" s="29"/>
      <c r="N39" s="28"/>
      <c r="O39" s="30">
        <f>SUM(O3:O37)</f>
        <v>4952</v>
      </c>
      <c r="P39" s="31">
        <f>SUM(P3:P37)</f>
        <v>80663</v>
      </c>
      <c r="Q39" s="28"/>
      <c r="R39" s="50"/>
      <c r="S39" s="53">
        <f>SUM(S3:S37)</f>
        <v>75711</v>
      </c>
      <c r="T39" s="44"/>
    </row>
    <row r="40" spans="1:21" ht="14.25" customHeight="1" x14ac:dyDescent="0.15">
      <c r="A40" s="32"/>
      <c r="B40" s="33"/>
      <c r="C40" s="34"/>
      <c r="D40" s="33"/>
      <c r="E40" s="33"/>
      <c r="F40" s="33"/>
      <c r="G40" s="33"/>
      <c r="H40" s="33"/>
      <c r="I40" s="33"/>
      <c r="J40" s="33"/>
      <c r="K40" s="33"/>
      <c r="L40" s="33"/>
      <c r="M40" s="35"/>
      <c r="N40" s="33"/>
      <c r="O40" s="33"/>
      <c r="P40" s="33" t="s">
        <v>51</v>
      </c>
      <c r="Q40" s="33"/>
      <c r="R40" s="33"/>
    </row>
    <row r="41" spans="1:21" ht="14.25" customHeight="1" x14ac:dyDescent="0.15">
      <c r="C41" s="36"/>
      <c r="U41" s="44"/>
    </row>
    <row r="42" spans="1:21" ht="14.25" customHeight="1" x14ac:dyDescent="0.15">
      <c r="C42" s="36"/>
    </row>
    <row r="43" spans="1:21" ht="14" x14ac:dyDescent="0.15">
      <c r="C43" s="36"/>
      <c r="M43" s="45"/>
      <c r="O43" s="59">
        <f>P39-O39</f>
        <v>75711</v>
      </c>
      <c r="P43" s="59"/>
    </row>
    <row r="44" spans="1:21" ht="14" x14ac:dyDescent="0.15">
      <c r="C44" s="36"/>
    </row>
    <row r="45" spans="1:21" ht="14" x14ac:dyDescent="0.15">
      <c r="C45" s="36"/>
    </row>
    <row r="46" spans="1:21" ht="14" x14ac:dyDescent="0.15">
      <c r="C46" s="36"/>
    </row>
    <row r="47" spans="1:21" ht="14" x14ac:dyDescent="0.15">
      <c r="C47" s="36"/>
    </row>
    <row r="48" spans="1:21" ht="14" x14ac:dyDescent="0.15">
      <c r="C48" s="36"/>
    </row>
    <row r="49" spans="1:18" ht="14" x14ac:dyDescent="0.15">
      <c r="C49" s="36"/>
    </row>
    <row r="50" spans="1:18" ht="14" x14ac:dyDescent="0.15">
      <c r="C50" s="36"/>
    </row>
    <row r="51" spans="1:18" ht="14" x14ac:dyDescent="0.15">
      <c r="C51" s="36"/>
    </row>
    <row r="52" spans="1:18" ht="14" x14ac:dyDescent="0.15"/>
    <row r="53" spans="1:18" ht="14" x14ac:dyDescent="0.15"/>
    <row r="54" spans="1:18" ht="14" x14ac:dyDescent="0.15"/>
    <row r="55" spans="1:18" ht="14" x14ac:dyDescent="0.15"/>
    <row r="56" spans="1:18" ht="14" x14ac:dyDescent="0.1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</row>
    <row r="57" spans="1:18" ht="14" x14ac:dyDescent="0.15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</row>
    <row r="58" spans="1:18" ht="14" x14ac:dyDescent="0.15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</row>
    <row r="59" spans="1:18" ht="14" x14ac:dyDescent="0.15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</row>
    <row r="60" spans="1:18" ht="14" x14ac:dyDescent="0.15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</row>
    <row r="61" spans="1:18" ht="14" x14ac:dyDescent="0.15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</row>
    <row r="62" spans="1:18" ht="14" x14ac:dyDescent="0.15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</row>
    <row r="63" spans="1:18" ht="14" x14ac:dyDescent="0.15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</row>
    <row r="64" spans="1:18" ht="14" x14ac:dyDescent="0.15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</row>
    <row r="65" spans="2:18" ht="14" x14ac:dyDescent="0.15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</row>
    <row r="66" spans="2:18" ht="14" x14ac:dyDescent="0.15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</row>
    <row r="67" spans="2:18" ht="14" x14ac:dyDescent="0.15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</row>
    <row r="68" spans="2:18" ht="14" x14ac:dyDescent="0.15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69" spans="2:18" ht="14" x14ac:dyDescent="0.15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</row>
    <row r="70" spans="2:18" ht="14" x14ac:dyDescent="0.15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</row>
    <row r="71" spans="2:18" ht="14" x14ac:dyDescent="0.15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</row>
    <row r="72" spans="2:18" ht="14" x14ac:dyDescent="0.15"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</row>
    <row r="73" spans="2:18" ht="14" x14ac:dyDescent="0.15"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spans="2:18" ht="14" x14ac:dyDescent="0.15"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</row>
    <row r="75" spans="2:18" ht="14" x14ac:dyDescent="0.15"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</row>
    <row r="76" spans="2:18" ht="14" x14ac:dyDescent="0.15"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</row>
    <row r="77" spans="2:18" ht="14" x14ac:dyDescent="0.15"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</row>
    <row r="78" spans="2:18" ht="14" x14ac:dyDescent="0.15"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</row>
    <row r="79" spans="2:18" ht="14" x14ac:dyDescent="0.15"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</row>
    <row r="80" spans="2:18" ht="14" x14ac:dyDescent="0.15"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</row>
    <row r="81" spans="2:18" ht="14" x14ac:dyDescent="0.15"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</row>
    <row r="82" spans="2:18" ht="14" x14ac:dyDescent="0.15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</row>
    <row r="83" spans="2:18" ht="14" x14ac:dyDescent="0.15"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</row>
    <row r="84" spans="2:18" ht="14" x14ac:dyDescent="0.15"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</row>
    <row r="85" spans="2:18" ht="14" x14ac:dyDescent="0.15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</row>
    <row r="86" spans="2:18" ht="14" x14ac:dyDescent="0.15"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</row>
    <row r="87" spans="2:18" ht="14" x14ac:dyDescent="0.15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</row>
    <row r="88" spans="2:18" ht="14" x14ac:dyDescent="0.15"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</row>
    <row r="89" spans="2:18" ht="14" x14ac:dyDescent="0.15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</row>
  </sheetData>
  <mergeCells count="15">
    <mergeCell ref="A1:P1"/>
    <mergeCell ref="Q1:R1"/>
    <mergeCell ref="J39:L39"/>
    <mergeCell ref="O43:P43"/>
    <mergeCell ref="S3:S7"/>
    <mergeCell ref="S8:S9"/>
    <mergeCell ref="S10:S11"/>
    <mergeCell ref="S12:S13"/>
    <mergeCell ref="S14:S17"/>
    <mergeCell ref="S34:S35"/>
    <mergeCell ref="S18:S19"/>
    <mergeCell ref="S20:S24"/>
    <mergeCell ref="S25:S26"/>
    <mergeCell ref="S28:S30"/>
    <mergeCell ref="S31:S3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CE4B-1758-A14F-B4C3-753393AEF229}">
  <dimension ref="C7:E11"/>
  <sheetViews>
    <sheetView workbookViewId="0">
      <selection activeCell="G1" sqref="G1:G1048576"/>
    </sheetView>
  </sheetViews>
  <sheetFormatPr baseColWidth="10" defaultRowHeight="14" x14ac:dyDescent="0.15"/>
  <cols>
    <col min="3" max="3" width="6.33203125" bestFit="1" customWidth="1"/>
    <col min="4" max="4" width="19.33203125" bestFit="1" customWidth="1"/>
  </cols>
  <sheetData>
    <row r="7" spans="3:5" x14ac:dyDescent="0.15">
      <c r="C7" s="55" t="s">
        <v>69</v>
      </c>
      <c r="D7" s="55" t="s">
        <v>68</v>
      </c>
      <c r="E7" s="55" t="s">
        <v>67</v>
      </c>
    </row>
    <row r="8" spans="3:5" x14ac:dyDescent="0.15">
      <c r="C8" s="52">
        <v>1</v>
      </c>
      <c r="D8" s="43" t="s">
        <v>63</v>
      </c>
      <c r="E8" s="43">
        <v>44171</v>
      </c>
    </row>
    <row r="9" spans="3:5" x14ac:dyDescent="0.15">
      <c r="C9" s="52">
        <v>2</v>
      </c>
      <c r="D9" s="43" t="s">
        <v>64</v>
      </c>
      <c r="E9" s="43">
        <v>21687</v>
      </c>
    </row>
    <row r="10" spans="3:5" x14ac:dyDescent="0.15">
      <c r="C10" s="52">
        <v>3</v>
      </c>
      <c r="D10" s="43" t="s">
        <v>65</v>
      </c>
      <c r="E10" s="43">
        <f>Haryana!S39</f>
        <v>75711</v>
      </c>
    </row>
    <row r="11" spans="3:5" x14ac:dyDescent="0.15">
      <c r="C11" s="61" t="s">
        <v>66</v>
      </c>
      <c r="D11" s="61"/>
      <c r="E11" s="55">
        <f>SUM(E8:E10)</f>
        <v>141569</v>
      </c>
    </row>
  </sheetData>
  <mergeCells count="1"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Haryana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Akhil Singh</cp:lastModifiedBy>
  <cp:revision>230</cp:revision>
  <cp:lastPrinted>2024-11-27T07:50:38Z</cp:lastPrinted>
  <dcterms:created xsi:type="dcterms:W3CDTF">2024-05-14T05:31:50Z</dcterms:created>
  <dcterms:modified xsi:type="dcterms:W3CDTF">2025-07-10T01:42:25Z</dcterms:modified>
  <dc:language>en-IN</dc:language>
</cp:coreProperties>
</file>