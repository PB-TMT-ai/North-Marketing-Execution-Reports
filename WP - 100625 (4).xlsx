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a/Desktop/Desktop/General/JSW/Apr-Jun-25/"/>
    </mc:Choice>
  </mc:AlternateContent>
  <xr:revisionPtr revIDLastSave="0" documentId="13_ncr:1_{14ED65C5-76F7-6A46-B586-100684357573}" xr6:coauthVersionLast="47" xr6:coauthVersionMax="47" xr10:uidLastSave="{00000000-0000-0000-0000-000000000000}"/>
  <bookViews>
    <workbookView xWindow="0" yWindow="0" windowWidth="28800" windowHeight="18000" activeTab="2" xr2:uid="{46A38EC3-249F-0640-B1B9-8639C458825D}"/>
  </bookViews>
  <sheets>
    <sheet name="HR" sheetId="1" r:id="rId1"/>
    <sheet name="NCR" sheetId="2" r:id="rId2"/>
    <sheet name="RAj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5" i="3" l="1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U57" i="2"/>
  <c r="U56" i="2"/>
  <c r="U55" i="2"/>
  <c r="U54" i="2"/>
  <c r="U53" i="2"/>
  <c r="U52" i="2"/>
  <c r="U51" i="2"/>
  <c r="U50" i="2"/>
  <c r="U49" i="2"/>
  <c r="U48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U33" i="2"/>
  <c r="U32" i="2"/>
  <c r="U31" i="2"/>
  <c r="U30" i="2"/>
  <c r="U29" i="2"/>
  <c r="U28" i="2"/>
  <c r="U27" i="2"/>
  <c r="U26" i="2"/>
  <c r="U25" i="2"/>
  <c r="U24" i="2"/>
  <c r="U23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U8" i="2"/>
  <c r="U7" i="2"/>
  <c r="U6" i="2"/>
  <c r="U5" i="2"/>
  <c r="U61" i="2"/>
  <c r="U60" i="2"/>
  <c r="U59" i="2"/>
  <c r="U58" i="2"/>
  <c r="U4" i="2"/>
  <c r="U3" i="2"/>
  <c r="U2" i="2"/>
  <c r="R162" i="3" l="1"/>
  <c r="U62" i="2"/>
  <c r="R260" i="1"/>
  <c r="R259" i="1"/>
  <c r="R258" i="1"/>
  <c r="R257" i="1"/>
  <c r="R256" i="1"/>
  <c r="R262" i="1" s="1"/>
  <c r="R265" i="1" s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<sst xmlns="http://schemas.openxmlformats.org/spreadsheetml/2006/main" count="2095" uniqueCount="517">
  <si>
    <t>Haryana</t>
  </si>
  <si>
    <t>Size</t>
  </si>
  <si>
    <t>S.No</t>
  </si>
  <si>
    <t>Region</t>
  </si>
  <si>
    <t>Dealer/Area</t>
  </si>
  <si>
    <t>State</t>
  </si>
  <si>
    <t>City</t>
  </si>
  <si>
    <t>Location</t>
  </si>
  <si>
    <t>Site name</t>
  </si>
  <si>
    <t>Status</t>
  </si>
  <si>
    <t>Latitude</t>
  </si>
  <si>
    <t>Longitude</t>
  </si>
  <si>
    <t>Wall/Shop Number (Vendor Initials_wall No._DD/MM/YY)</t>
  </si>
  <si>
    <t>Type</t>
  </si>
  <si>
    <t>Wall Tenure (in months)</t>
  </si>
  <si>
    <t>Rented/
Free Wall</t>
  </si>
  <si>
    <t>Amount
of Rent</t>
  </si>
  <si>
    <t>Execution Date</t>
  </si>
  <si>
    <t>Comment/Remarks</t>
  </si>
  <si>
    <t>Actual Sq ft</t>
  </si>
  <si>
    <t>W</t>
  </si>
  <si>
    <t>H</t>
  </si>
  <si>
    <t>NW</t>
  </si>
  <si>
    <t>Kamya Steel</t>
  </si>
  <si>
    <t>SE</t>
  </si>
  <si>
    <t>Sonipat</t>
  </si>
  <si>
    <t>Siddharth Enclave Sector 2, 
Sonipat – Haryana</t>
  </si>
  <si>
    <t>OK</t>
  </si>
  <si>
    <t>BRANDHUT- 01/01</t>
  </si>
  <si>
    <t xml:space="preserve"> </t>
  </si>
  <si>
    <t>19-05-2025</t>
  </si>
  <si>
    <t>BRANDHUT- 01/02</t>
  </si>
  <si>
    <t>20-05-2025</t>
  </si>
  <si>
    <t>BRANDHUT- 01/03</t>
  </si>
  <si>
    <t>BRANDHUT- 01/04</t>
  </si>
  <si>
    <t>BRANDHUT- 01/05</t>
  </si>
  <si>
    <t>BRANDHUT- 01/06</t>
  </si>
  <si>
    <t>BRANDHUT- 01/07</t>
  </si>
  <si>
    <t>Shutter</t>
  </si>
  <si>
    <t>Shri Shyam Steel</t>
  </si>
  <si>
    <t>Near Rathan Dhaba , Pacca Bagh,
 Kharkhoda, Sonipat – Haryana</t>
  </si>
  <si>
    <t>BRANDHUT- 02/08</t>
  </si>
  <si>
    <t>21-05-2025</t>
  </si>
  <si>
    <t>BRANDHUT- 02/09</t>
  </si>
  <si>
    <t>BRANDHUT- 02/10</t>
  </si>
  <si>
    <t xml:space="preserve">        </t>
  </si>
  <si>
    <t>BRANDHUT- 02/11</t>
  </si>
  <si>
    <t>22-05-2025</t>
  </si>
  <si>
    <t>BRANDHUT- 02/12</t>
  </si>
  <si>
    <t>Gupta Trading 
Company</t>
  </si>
  <si>
    <t>Rohtak</t>
  </si>
  <si>
    <t>Sampla – Jhajjar Rd, Rohtak – Haryana</t>
  </si>
  <si>
    <t>BRANDHUT- 03/13</t>
  </si>
  <si>
    <t>23-05-2025</t>
  </si>
  <si>
    <t>BRANDHUT- 03/14</t>
  </si>
  <si>
    <t>BRANDHUT- 03/15</t>
  </si>
  <si>
    <t>BRANDHUT- 03/16</t>
  </si>
  <si>
    <t>BRANDHUT- 03/17</t>
  </si>
  <si>
    <t>Shri Balaji Iron Store</t>
  </si>
  <si>
    <t>Jhajjar</t>
  </si>
  <si>
    <t>Silani Gate, Jhajjar – Haryana</t>
  </si>
  <si>
    <t>BRANDHUT- 04/18</t>
  </si>
  <si>
    <t>24-05-2025</t>
  </si>
  <si>
    <t>BRANDHUT- 04/19</t>
  </si>
  <si>
    <t>BRANDHUT- 04/20</t>
  </si>
  <si>
    <t>BRANDHUT- 04/21</t>
  </si>
  <si>
    <t>25-05-2025</t>
  </si>
  <si>
    <t>BRANDHUT- 04/22</t>
  </si>
  <si>
    <t>Riya Trading 
Comapny</t>
  </si>
  <si>
    <t>Gurugram</t>
  </si>
  <si>
    <t>Sector 6 Pataudi, Gurugram – Haryana</t>
  </si>
  <si>
    <t>Rahul Steel</t>
  </si>
  <si>
    <t>Basai Rd Vikas Nagar Sector 10, 
Gurugram – Haryana</t>
  </si>
  <si>
    <t>BRANDHUT- 02/06</t>
  </si>
  <si>
    <t>BRANDHUT- 02/07</t>
  </si>
  <si>
    <t>Shivay Building
 Material Supplier</t>
  </si>
  <si>
    <t>Samaspur Sector 51, Gurugram – Haryana</t>
  </si>
  <si>
    <t>BRANDHUT- 03/11</t>
  </si>
  <si>
    <t>BRANDHUT- 03/12</t>
  </si>
  <si>
    <t>Shree Shyam Steel</t>
  </si>
  <si>
    <t>Hamilton Ct Rd, DLF Phase 4, Gurugram – Haryana</t>
  </si>
  <si>
    <t>BRANDHUT- 04/13</t>
  </si>
  <si>
    <t>BRANDHUT- 04/14</t>
  </si>
  <si>
    <t>Ahuja Enterprises</t>
  </si>
  <si>
    <t>Baluda Road Sohana, Gurugram – Haryana</t>
  </si>
  <si>
    <t>BRANDHUT- 05/15</t>
  </si>
  <si>
    <t>BRANDHUT- 05/16</t>
  </si>
  <si>
    <t>BRANDHUT- 05/17</t>
  </si>
  <si>
    <t>BRANDHUT- 05/18</t>
  </si>
  <si>
    <t>BRANDHUT- 05/19</t>
  </si>
  <si>
    <t>BRANDHUT- 05/20</t>
  </si>
  <si>
    <t>BRANDHUT- 05/21</t>
  </si>
  <si>
    <t>BRANDHUT- 05/22</t>
  </si>
  <si>
    <t>Amba Trading 
Comapny</t>
  </si>
  <si>
    <t>Block G Sushant Lok, Gurugram – Haryana</t>
  </si>
  <si>
    <t>BRANDHUT- 06/23</t>
  </si>
  <si>
    <t>BRANDHUT- 06/24</t>
  </si>
  <si>
    <t>BRANDHUT- 06/25</t>
  </si>
  <si>
    <t>BRANDHUT- 06/26</t>
  </si>
  <si>
    <t>BRANDHUT- 06/27</t>
  </si>
  <si>
    <t>26-05-2025</t>
  </si>
  <si>
    <t>Chopra Enterprises</t>
  </si>
  <si>
    <t>Near rajeev Chowk, Dhumaspur,
 Gurugram – Haryana</t>
  </si>
  <si>
    <t>BRANDHUT- 07/28</t>
  </si>
  <si>
    <t>BRANDHUT- 07/29</t>
  </si>
  <si>
    <t>BRANDHUT- 07/30</t>
  </si>
  <si>
    <t>BRANDHUT- 07/31</t>
  </si>
  <si>
    <t>BRANDHUT- 07/32</t>
  </si>
  <si>
    <t>BRANDHUT- 07/33</t>
  </si>
  <si>
    <t>Kanha Ji Traders</t>
  </si>
  <si>
    <t>Dadri</t>
  </si>
  <si>
    <t>Sector 8 Gamari Rd Bichla Bass, 
Chakhri Dadri – Haryana</t>
  </si>
  <si>
    <t>BRANDHUT- 08/34</t>
  </si>
  <si>
    <t>28-05-2025</t>
  </si>
  <si>
    <t>BRANDHUT- 08/35</t>
  </si>
  <si>
    <t>29-05-2025</t>
  </si>
  <si>
    <t>BRANDHUT- 08/36</t>
  </si>
  <si>
    <t>Chaudhary Cement Store</t>
  </si>
  <si>
    <t>SW</t>
  </si>
  <si>
    <t>Bhiwani</t>
  </si>
  <si>
    <t>Kitlana, Bhiwani – Haryana</t>
  </si>
  <si>
    <t>BRANDHUT- 09/37</t>
  </si>
  <si>
    <t>BRANDHUT- 09/38</t>
  </si>
  <si>
    <t>30-05-2025</t>
  </si>
  <si>
    <t>BRANDHUT- 09/39</t>
  </si>
  <si>
    <t>BRANDHUT- 09/40</t>
  </si>
  <si>
    <t>BRANDHUT- 09/41</t>
  </si>
  <si>
    <t>BRANDHUT- 09/42</t>
  </si>
  <si>
    <t>Surajbhan Niraniya Sales Corporation</t>
  </si>
  <si>
    <t>Shakti Nagar, Bhiwani – Haryana</t>
  </si>
  <si>
    <t>BRANDHUT- 10/43</t>
  </si>
  <si>
    <t>31-05-2025</t>
  </si>
  <si>
    <t>BRANDHUT- 10/44</t>
  </si>
  <si>
    <t>BRANDHUT- 10/45</t>
  </si>
  <si>
    <t>01-06-2025</t>
  </si>
  <si>
    <t>BRANDHUT- 10/46</t>
  </si>
  <si>
    <t>Aggarwal Traders</t>
  </si>
  <si>
    <t>West</t>
  </si>
  <si>
    <t>Hisar</t>
  </si>
  <si>
    <t>Jagdish Colony Hansi, Hisar – Haryana</t>
  </si>
  <si>
    <t>BRANDHUT- 11/47</t>
  </si>
  <si>
    <t>02-06-2025</t>
  </si>
  <si>
    <t>BRANDHUT- 11/48</t>
  </si>
  <si>
    <t>Sirsa</t>
  </si>
  <si>
    <t>Ding Mod, Sirsa – Haryana</t>
  </si>
  <si>
    <t>BRANDHUT- 12/49</t>
  </si>
  <si>
    <t>03-06-2025</t>
  </si>
  <si>
    <t>BRANDHUT- 12/50</t>
  </si>
  <si>
    <t>North</t>
  </si>
  <si>
    <t>Mangala Steel</t>
  </si>
  <si>
    <t>Palwal</t>
  </si>
  <si>
    <t>Gandhi Ashram Colony, Palwal</t>
  </si>
  <si>
    <t>4 Pillar</t>
  </si>
  <si>
    <t>Gaurav Steels</t>
  </si>
  <si>
    <t>Faridabad</t>
  </si>
  <si>
    <t>Nangla Gurjan Sohana Rd, Faridabad – Haryana</t>
  </si>
  <si>
    <t>BRANDHUT- 02/04</t>
  </si>
  <si>
    <t>04-06-2025</t>
  </si>
  <si>
    <t>BRANDHUT- 02/05</t>
  </si>
  <si>
    <t>Sharma Steel &amp; Pipes</t>
  </si>
  <si>
    <t>Rewari</t>
  </si>
  <si>
    <t>Dharuhera Sohana Rd, Sector 4a, Rewari</t>
  </si>
  <si>
    <t>BRANDHUT- 03/08</t>
  </si>
  <si>
    <t>BRANDHUT- 03/09</t>
  </si>
  <si>
    <t>05-06-2025</t>
  </si>
  <si>
    <t>BRANDHUT- 03/10</t>
  </si>
  <si>
    <t>06-06-2025</t>
  </si>
  <si>
    <t>Goel Trading Comapny</t>
  </si>
  <si>
    <t xml:space="preserve">New Gain Market, Rohtak Haryana </t>
  </si>
  <si>
    <t>BRANDHUT- 04/23</t>
  </si>
  <si>
    <t>BRANDHUT- 04/24</t>
  </si>
  <si>
    <t>BRANDHUT- 04/25</t>
  </si>
  <si>
    <t>BRANDHUT- 04/26</t>
  </si>
  <si>
    <t>BRANDHUT-04/26</t>
  </si>
  <si>
    <t>BRANDHUT-04/28</t>
  </si>
  <si>
    <t>BRANDHUT- 04/28</t>
  </si>
  <si>
    <t>BRANDHUT-04/29</t>
  </si>
  <si>
    <t xml:space="preserve">North </t>
  </si>
  <si>
    <t xml:space="preserve">Kapil Buil Material Supplier </t>
  </si>
  <si>
    <t xml:space="preserve">Tegor Colony  Sector -27 Rohtak Haryana </t>
  </si>
  <si>
    <t xml:space="preserve">Haryana </t>
  </si>
  <si>
    <t>BRANDHUT- 05/30</t>
  </si>
  <si>
    <t>BRANDHUT- 05/31</t>
  </si>
  <si>
    <t>BRANDHUT- 05/32</t>
  </si>
  <si>
    <t>A.K. Khokhar Trading</t>
  </si>
  <si>
    <t xml:space="preserve">West </t>
  </si>
  <si>
    <t xml:space="preserve">Kansala  Haryana  </t>
  </si>
  <si>
    <t>BRANDHUT-06/33</t>
  </si>
  <si>
    <t>BRANDHUT-06/35</t>
  </si>
  <si>
    <t>BRANDHUT-06/36</t>
  </si>
  <si>
    <t>BRANDHUT-06-37</t>
  </si>
  <si>
    <t>Sohan Trading 
Company</t>
  </si>
  <si>
    <t xml:space="preserve">Gohana Sonipat- Haryana </t>
  </si>
  <si>
    <t>BRANDHUT-07-38</t>
  </si>
  <si>
    <t>BRANDHUT-07-39</t>
  </si>
  <si>
    <t>BRANDHUT-07-40</t>
  </si>
  <si>
    <t>BRANDHUT-07-41</t>
  </si>
  <si>
    <t>Baba Shyot Nath
 Cement Store</t>
  </si>
  <si>
    <t>Bhagth Singh Colony Meham - Rohtak</t>
  </si>
  <si>
    <t>BRANDHUT-08/42</t>
  </si>
  <si>
    <t>BRANDHUT-08/43</t>
  </si>
  <si>
    <t>Shop</t>
  </si>
  <si>
    <t>BRANDHUT-08/44</t>
  </si>
  <si>
    <t>BRANDHUT-08/45</t>
  </si>
  <si>
    <t>BRANDHUT-08/46</t>
  </si>
  <si>
    <t>BRANDHUT-08/47</t>
  </si>
  <si>
    <t xml:space="preserve">Shashi Enterprises </t>
  </si>
  <si>
    <t xml:space="preserve">Azad Nager - Hisar Haryana </t>
  </si>
  <si>
    <t>BRANDHUT-09/48</t>
  </si>
  <si>
    <t>BRANDHUT-09/49</t>
  </si>
  <si>
    <t>BRANDHUT-09/50</t>
  </si>
  <si>
    <t>BRANDHUT-09/51</t>
  </si>
  <si>
    <t>Shree Ganesh Steel</t>
  </si>
  <si>
    <t>Fetehabad</t>
  </si>
  <si>
    <t xml:space="preserve"> Fetehabad, Haryana</t>
  </si>
  <si>
    <t>BRANDHUT-10/52</t>
  </si>
  <si>
    <t>BRANDHUT-10/53</t>
  </si>
  <si>
    <t>BRANDHUT -10/54</t>
  </si>
  <si>
    <t>Khatu Shyam
 Enterprises</t>
  </si>
  <si>
    <t>Bhattu Mandi, Fatehabad – Haryana</t>
  </si>
  <si>
    <t>BRANDHUT -10/55</t>
  </si>
  <si>
    <t>BRANDHUT -10/56</t>
  </si>
  <si>
    <t>BRANDHUT -10/57</t>
  </si>
  <si>
    <t>BRANDHUT -10/58</t>
  </si>
  <si>
    <t>Mittal Iron Store</t>
  </si>
  <si>
    <t>Mamera, Sirsa – Haryana</t>
  </si>
  <si>
    <t>BRANDHUT -11/59</t>
  </si>
  <si>
    <t>BRANDHUT- 11/60</t>
  </si>
  <si>
    <t>BRANDHUT- 11/61</t>
  </si>
  <si>
    <t>BRANDHUT-11/62</t>
  </si>
  <si>
    <t>BRANDHUT-11/63</t>
  </si>
  <si>
    <t>BRANDHUT-11/64</t>
  </si>
  <si>
    <t>Jai Baba Mohan 
Ram Infratech</t>
  </si>
  <si>
    <t>Koyal vihar Sector 52, Gurugram – Haryana</t>
  </si>
  <si>
    <t>BRANDHUT-29/14</t>
  </si>
  <si>
    <t>BRANDHUT-29/15</t>
  </si>
  <si>
    <t>BRANDHUT-29/16</t>
  </si>
  <si>
    <t>BRANDHUT-29/17</t>
  </si>
  <si>
    <t>07-06-2025</t>
  </si>
  <si>
    <t>BRANDHUT-29/18</t>
  </si>
  <si>
    <t>BRANDHUT-29/19</t>
  </si>
  <si>
    <t>BRANDHUT-29/20</t>
  </si>
  <si>
    <t>BRANDHUT-29/21</t>
  </si>
  <si>
    <t>08-06-2025</t>
  </si>
  <si>
    <t>Shiv Trading Company</t>
  </si>
  <si>
    <t>BRANDHUT-30/22</t>
  </si>
  <si>
    <t>BRANDHUT-30/23</t>
  </si>
  <si>
    <t>BRANDHUT-30/24</t>
  </si>
  <si>
    <t>BRANDHUT-30/25</t>
  </si>
  <si>
    <t>Haryana Steel Company</t>
  </si>
  <si>
    <t>Khalikpur, Gurugram – Haryana</t>
  </si>
  <si>
    <t>BRANDHUT-31/26</t>
  </si>
  <si>
    <t>09-06-2025</t>
  </si>
  <si>
    <t>BRANDHUT-31/27</t>
  </si>
  <si>
    <t>BRANDHUT-31/28</t>
  </si>
  <si>
    <t>BRANDHUT-31/29</t>
  </si>
  <si>
    <t>BRANDHUT-31/30</t>
  </si>
  <si>
    <t>BRANDHUT-31/31</t>
  </si>
  <si>
    <t>BRANDHUT-31/32</t>
  </si>
  <si>
    <t>10-06-2025</t>
  </si>
  <si>
    <t>Tuteja Steel Corporation</t>
  </si>
  <si>
    <t>Shakti Nagar Model Town 
Sector 11, Gurugram – Haryana</t>
  </si>
  <si>
    <t>BRANDHUT-32/33</t>
  </si>
  <si>
    <t>11-06-2025</t>
  </si>
  <si>
    <t>BRANDHUT-32/34</t>
  </si>
  <si>
    <t>BRANDHUT-32/35</t>
  </si>
  <si>
    <t>BRANDHUT-32/36</t>
  </si>
  <si>
    <t>BRANDHUT-32/37</t>
  </si>
  <si>
    <t>BRANDHUT-32/38</t>
  </si>
  <si>
    <t>BRANDHUT-32/39</t>
  </si>
  <si>
    <t>BRANDHUT-32/40</t>
  </si>
  <si>
    <t>R.S Building Material</t>
  </si>
  <si>
    <t>Maharana Pratap Chowk 
Near Ajay Vatika Palace, Sirsa – Haryana</t>
  </si>
  <si>
    <t>BRANDHUT-33/51</t>
  </si>
  <si>
    <t>BRANDHUT-33/52</t>
  </si>
  <si>
    <t>BRANDHUT-33/53</t>
  </si>
  <si>
    <t>BRANDHUT-33/54</t>
  </si>
  <si>
    <t>BRANDHUT-33/55</t>
  </si>
  <si>
    <t>BRANDHUT-33/56</t>
  </si>
  <si>
    <t>BRANDHUT-33/57</t>
  </si>
  <si>
    <t>BRANDHUT-33/58</t>
  </si>
  <si>
    <t>BRANDHUT-33/59</t>
  </si>
  <si>
    <t>BRANDHUT-33/60</t>
  </si>
  <si>
    <t>BRANDHUT-33/61</t>
  </si>
  <si>
    <t>BRANDHUT-33/62</t>
  </si>
  <si>
    <t>BRANDHUT-33/63</t>
  </si>
  <si>
    <t>Total</t>
  </si>
  <si>
    <t>Complete SQ-FT</t>
  </si>
  <si>
    <t xml:space="preserve">   </t>
  </si>
  <si>
    <t>address</t>
  </si>
  <si>
    <t>Phone No</t>
  </si>
  <si>
    <t>District</t>
  </si>
  <si>
    <t>Plan Sq Ft</t>
  </si>
  <si>
    <t xml:space="preserve">Purnima Steel Trader </t>
  </si>
  <si>
    <t>Ghaziabad</t>
  </si>
  <si>
    <t>UP</t>
  </si>
  <si>
    <t xml:space="preserve">Need contact no </t>
  </si>
  <si>
    <t>NARENDER STEELS</t>
  </si>
  <si>
    <t>86, LOHA MANDI, GHAZIABAD, Ghaziabad, UP</t>
  </si>
  <si>
    <t>LAKSHMI STEELS</t>
  </si>
  <si>
    <t>126,LOHA MANDI,B.S. ROAD,INDL. AREA,GHAZIABAD UP 201009</t>
  </si>
  <si>
    <t>MAMVEER TRADERS</t>
  </si>
  <si>
    <t>Rohta Road by pass Crossing Shobhapur UP 250005</t>
  </si>
  <si>
    <t>S-31</t>
  </si>
  <si>
    <t>S-32</t>
  </si>
  <si>
    <t>S-33</t>
  </si>
  <si>
    <t>LALIT TRADERS</t>
  </si>
  <si>
    <t>Mohan Park, G T Road,Modinagar, Ghaziabad UP, 201201</t>
  </si>
  <si>
    <t xml:space="preserve">Modinagar </t>
  </si>
  <si>
    <t>S-3</t>
  </si>
  <si>
    <t>S-4</t>
  </si>
  <si>
    <t>S-5</t>
  </si>
  <si>
    <t>S-6</t>
  </si>
  <si>
    <t>TRIVENI STEELs</t>
  </si>
  <si>
    <t>47, Naya Ganj, Ghaziabad UP 201001</t>
  </si>
  <si>
    <t>S-24</t>
  </si>
  <si>
    <t>MOHAN STEELS</t>
  </si>
  <si>
    <t>109 , LOHA MANDI GHAZIABAD UTTAR PARDESH</t>
  </si>
  <si>
    <t>S-21</t>
  </si>
  <si>
    <t>S-22</t>
  </si>
  <si>
    <t>S-23</t>
  </si>
  <si>
    <t>SHREE MAHAKAL STEELS</t>
  </si>
  <si>
    <t>293, LOHA MANDI, GHAZIABAD, UTTAR PRADESH-201009</t>
  </si>
  <si>
    <t>S-7</t>
  </si>
  <si>
    <t>S-8</t>
  </si>
  <si>
    <t>S-9</t>
  </si>
  <si>
    <t>SK ISPAT</t>
  </si>
  <si>
    <t>122 LOHA MANDI GHAZIABAD</t>
  </si>
  <si>
    <t>RUBY ENGINNERING &amp; STEEL TRADERS</t>
  </si>
  <si>
    <t>H NO 433, GALI NO 2, MEERUT ROAD, HINDON VIHAR, Ghaziabad, Uttar Pradesh, 201001</t>
  </si>
  <si>
    <t>S-14</t>
  </si>
  <si>
    <t>S-15</t>
  </si>
  <si>
    <t>RAJDHANI STEEL</t>
  </si>
  <si>
    <t>Hapur Road Meerut</t>
  </si>
  <si>
    <t>PURNIMA STEEL SYNDICATE</t>
  </si>
  <si>
    <t>Floor, Plot No.742, Flat No.202, Niti Khand 1, Indirapuram, Ghaziabad, Ghaziabad, Uttar Pradesh, 201014</t>
  </si>
  <si>
    <t xml:space="preserve">Ok for wall painting </t>
  </si>
  <si>
    <t>BALAJI STEELS</t>
  </si>
  <si>
    <t>32, LOHA MANDI , B.S ROAD , INDUSTRIAL AREA GHAZIABAD 201002</t>
  </si>
  <si>
    <t xml:space="preserve">Loha Mandi </t>
  </si>
  <si>
    <t>S-10</t>
  </si>
  <si>
    <t>S-11</t>
  </si>
  <si>
    <t>S-12</t>
  </si>
  <si>
    <t>S-13</t>
  </si>
  <si>
    <t>GAJRAJ ENTERPRISES</t>
  </si>
  <si>
    <t>SHOP NO 9 , GDA SHOPING COMPLEX SHAKTIKHAND 1 , INDIRAPURAM GHAZIABAD</t>
  </si>
  <si>
    <t>GANGOTRI STEEL SYNDICATE</t>
  </si>
  <si>
    <t>113/8, NAVYUG MARKET, GHAZIABAD, Ghaziabad, Up 201001</t>
  </si>
  <si>
    <t>S-16</t>
  </si>
  <si>
    <t>S-17</t>
  </si>
  <si>
    <t>S-18</t>
  </si>
  <si>
    <t>S-19</t>
  </si>
  <si>
    <t>S-20</t>
  </si>
  <si>
    <t>MARUTI STEELS</t>
  </si>
  <si>
    <t>389,390 loha mandi, ghaziabad</t>
  </si>
  <si>
    <t>ARSH ENTERPRISE</t>
  </si>
  <si>
    <t>1265/3,UNCHI SADAK,MODINAGAR UP 201204</t>
  </si>
  <si>
    <t>S/1</t>
  </si>
  <si>
    <t>S/2</t>
  </si>
  <si>
    <t>MITTAL TRADERS</t>
  </si>
  <si>
    <t>1414/3, SHASTRI NAGAR, Meerut, Meerut, Uttar Pradesh, 250004</t>
  </si>
  <si>
    <t xml:space="preserve">Delhi Steel </t>
  </si>
  <si>
    <t xml:space="preserve">Loni </t>
  </si>
  <si>
    <t>Up</t>
  </si>
  <si>
    <t xml:space="preserve">Ghazibad </t>
  </si>
  <si>
    <t>Loni</t>
  </si>
  <si>
    <t xml:space="preserve">Tanisk </t>
  </si>
  <si>
    <t xml:space="preserve">Mohan Nagar </t>
  </si>
  <si>
    <t>S-30</t>
  </si>
  <si>
    <t xml:space="preserve">RR Iron Store </t>
  </si>
  <si>
    <t xml:space="preserve">Meerut Road </t>
  </si>
  <si>
    <t>up</t>
  </si>
  <si>
    <t>S-25</t>
  </si>
  <si>
    <t>S-26</t>
  </si>
  <si>
    <t>S-27</t>
  </si>
  <si>
    <t>S-28</t>
  </si>
  <si>
    <t>S-29</t>
  </si>
  <si>
    <t xml:space="preserve">Shri Balagi </t>
  </si>
  <si>
    <t xml:space="preserve">SOR Steel </t>
  </si>
  <si>
    <t>Dealer Cancelled by JSW</t>
  </si>
  <si>
    <t>Newly Added</t>
  </si>
  <si>
    <t>Rajasthan</t>
  </si>
  <si>
    <t>Wall/Shop Number 
(Vendor Initials_
wall No._DD/MM/YY)</t>
  </si>
  <si>
    <t>Shree Shyam Building
 Material Supplier</t>
  </si>
  <si>
    <t>NE</t>
  </si>
  <si>
    <t>Churu</t>
  </si>
  <si>
    <t>Churu, Rajasthan</t>
  </si>
  <si>
    <t>Aggarwal Steel</t>
  </si>
  <si>
    <t>Sikar</t>
  </si>
  <si>
    <t>Ringus, Sikar – Rajasthan</t>
  </si>
  <si>
    <t>Bala Ji Traders</t>
  </si>
  <si>
    <t>Nagpur</t>
  </si>
  <si>
    <t>Sankhwas Road, Pipar City, Nagpur – Rajasthan</t>
  </si>
  <si>
    <t xml:space="preserve">Roop Steel </t>
  </si>
  <si>
    <t>WEST</t>
  </si>
  <si>
    <t xml:space="preserve">Jodhpur </t>
  </si>
  <si>
    <t>Gujrawas khurd,  Jodhpur - Rajasthan</t>
  </si>
  <si>
    <t>BRANDHUT - 04/16</t>
  </si>
  <si>
    <t>BRANDHUT - 04/17</t>
  </si>
  <si>
    <t>BRANDHUT- 04/17</t>
  </si>
  <si>
    <t>BRANDHUT-04/18</t>
  </si>
  <si>
    <t>BRANDHUT-04/19</t>
  </si>
  <si>
    <t>26.3329.2</t>
  </si>
  <si>
    <t>BRANDHUT-04/20</t>
  </si>
  <si>
    <t>Aarti Steel</t>
  </si>
  <si>
    <t>Jodhpur  - Rajasthan</t>
  </si>
  <si>
    <t>BRANDHUT05/21</t>
  </si>
  <si>
    <t>Jodhpur</t>
  </si>
  <si>
    <t>BRADHUT-05/22</t>
  </si>
  <si>
    <t>Kabra Iron Agencies</t>
  </si>
  <si>
    <t xml:space="preserve"> Jodhpur  - Rajasthan</t>
  </si>
  <si>
    <t>BRANDHUT-06/23</t>
  </si>
  <si>
    <t>BRANDHUT-06/24</t>
  </si>
  <si>
    <t>BRANDHT-06/25</t>
  </si>
  <si>
    <t>BRANDHT-06/26</t>
  </si>
  <si>
    <t xml:space="preserve">Rajasthan Steel </t>
  </si>
  <si>
    <t>Heavy Electricn Area Basni, Jodhpur  - Rajasthan</t>
  </si>
  <si>
    <t>BRANDHT-07/27</t>
  </si>
  <si>
    <t>BRANDHT-07/28</t>
  </si>
  <si>
    <t xml:space="preserve">Shakti Steel </t>
  </si>
  <si>
    <t xml:space="preserve">Abhishek Nager  Pal Gaon, Jodhpur - Rajasthan </t>
  </si>
  <si>
    <t>BRANDHT-08/29</t>
  </si>
  <si>
    <t xml:space="preserve">Jodhpur   </t>
  </si>
  <si>
    <t>Ok</t>
  </si>
  <si>
    <t>BRANDHUT-08/30</t>
  </si>
  <si>
    <t>BRANDHUT-08/31</t>
  </si>
  <si>
    <t>BRANDHUT-08/32</t>
  </si>
  <si>
    <t>BRANDHUT-08/33</t>
  </si>
  <si>
    <t>BRANDHUT-08/34</t>
  </si>
  <si>
    <t>Vijay Laxmi Enterprises</t>
  </si>
  <si>
    <t>Sangariya Bypass Rd, Jodhpur – Rajasthan</t>
  </si>
  <si>
    <t>BRNDHUT-09/35</t>
  </si>
  <si>
    <t>BRNDHUT-09/36</t>
  </si>
  <si>
    <t>BRNDHUT-09/37</t>
  </si>
  <si>
    <t>BRNDHUT-09/38</t>
  </si>
  <si>
    <t>Royal Steel - Jodhpur</t>
  </si>
  <si>
    <t>Falaudi Industrial Area, Jodhpur – Rajasthan</t>
  </si>
  <si>
    <t>BRANDHUT-09/39</t>
  </si>
  <si>
    <t>BRANDHUT-10/40</t>
  </si>
  <si>
    <t>BRANDHUT-10/41</t>
  </si>
  <si>
    <t xml:space="preserve">Jugal Industries </t>
  </si>
  <si>
    <t>Jaisalmer</t>
  </si>
  <si>
    <t>Riico Industrial Area, Gandhi Nagar, Jaisalmer – Rajasthan</t>
  </si>
  <si>
    <t>BRANDHUT-11/42</t>
  </si>
  <si>
    <t>BRANDHUT-11/43</t>
  </si>
  <si>
    <t>Mahaveer Steel</t>
  </si>
  <si>
    <t>Pokhran, Jaisalmer – Rajsthan</t>
  </si>
  <si>
    <t>BRANDHUT-12/44</t>
  </si>
  <si>
    <t>BRANDHUT-12/45</t>
  </si>
  <si>
    <t xml:space="preserve">Mahadev Steel </t>
  </si>
  <si>
    <t>Jodhpur Bypass Rd, Bhaskar Chouraha, Jodhpur – Rajasthan</t>
  </si>
  <si>
    <t>BRANDHUT-13/46</t>
  </si>
  <si>
    <t>BRANDHUT-13/47</t>
  </si>
  <si>
    <t>BRANDHUT-13/48</t>
  </si>
  <si>
    <t>BRANDHUT-13/49</t>
  </si>
  <si>
    <t>BRANDHUT-13/50</t>
  </si>
  <si>
    <t>BRANDHUT-13/51</t>
  </si>
  <si>
    <t>BRANDHUT-13/52</t>
  </si>
  <si>
    <t>BRANDHUT-13/53</t>
  </si>
  <si>
    <t>Neelkanth Steel</t>
  </si>
  <si>
    <t>Edgaanh Rd, Bilara, Jodhpur – Rajasthan</t>
  </si>
  <si>
    <t>BRANDHUT-14/54</t>
  </si>
  <si>
    <t>BRANDHUT-14/55</t>
  </si>
  <si>
    <t>BRANDHUT-14/56</t>
  </si>
  <si>
    <t>12-06-2025</t>
  </si>
  <si>
    <t>BRANDHUT-14/57</t>
  </si>
  <si>
    <t>BRANDHUT-14/58</t>
  </si>
  <si>
    <t>R.B Traders</t>
  </si>
  <si>
    <t>Ganganagar</t>
  </si>
  <si>
    <t>New Dhan Mandi, Srinagar
 – Ganganagar – Rajasthan</t>
  </si>
  <si>
    <t>BRANDHUT-15/01</t>
  </si>
  <si>
    <t>BRANDHUT-15/02</t>
  </si>
  <si>
    <t>BRANDHUT-15/03</t>
  </si>
  <si>
    <t>BRANDHUT-15/04</t>
  </si>
  <si>
    <t>BRANDHUT-15/05</t>
  </si>
  <si>
    <t>BRANDHUT-15/06</t>
  </si>
  <si>
    <t>BRANDHUT-15/07</t>
  </si>
  <si>
    <t>BRANDHUT-15/08</t>
  </si>
  <si>
    <t>BRANDHUT-15/09</t>
  </si>
  <si>
    <t>BRANDHUT-15/10</t>
  </si>
  <si>
    <t>BRANDHUT-15/11</t>
  </si>
  <si>
    <t>BRANDHUT-15/12</t>
  </si>
  <si>
    <t>BRANDHUT-15/13</t>
  </si>
  <si>
    <t>BRANDHUT-15/14</t>
  </si>
  <si>
    <t>BRANDHUT-15/15</t>
  </si>
  <si>
    <t>Shree Madhav Steel</t>
  </si>
  <si>
    <t>Didwana – Kuchaman</t>
  </si>
  <si>
    <t>Ladnun, Didwana – Kuchaman – Rajasthan</t>
  </si>
  <si>
    <t>BRANDHUT-16/16</t>
  </si>
  <si>
    <t>BRANDHUT-16/17</t>
  </si>
  <si>
    <t>BRANDHUT-16/18</t>
  </si>
  <si>
    <t>BRANDHUT-16/19</t>
  </si>
  <si>
    <t>BRANDHUT-16/20</t>
  </si>
  <si>
    <t>BRANDHUT-16/21</t>
  </si>
  <si>
    <t>BRANDHUT-16/22</t>
  </si>
  <si>
    <t>Akshay Iron Store</t>
  </si>
  <si>
    <t>Neem Ka Thana, Sikar – rajasthan</t>
  </si>
  <si>
    <t>BRANDHUT-17/23</t>
  </si>
  <si>
    <t>BRANDHUT-17/24</t>
  </si>
  <si>
    <t>BRANDHUT-17/25</t>
  </si>
  <si>
    <t>Shree Bala Ji Steel</t>
  </si>
  <si>
    <t>EC</t>
  </si>
  <si>
    <t>Jaipur</t>
  </si>
  <si>
    <t>Bagru, Jaipur – Rajasthan</t>
  </si>
  <si>
    <t>BRANDHUT-18/26</t>
  </si>
  <si>
    <t>BRANDHUT-18/27</t>
  </si>
  <si>
    <t>BRANDHUT-18/28</t>
  </si>
  <si>
    <t>BRANDHUT-18/29</t>
  </si>
  <si>
    <t>BRANDHUT-18/30</t>
  </si>
  <si>
    <t>Jhalani Steel</t>
  </si>
  <si>
    <t>East</t>
  </si>
  <si>
    <t>Dausa</t>
  </si>
  <si>
    <t>Bandikui, Dausa – Rajasthan</t>
  </si>
  <si>
    <t>BRANDHUT-19/31</t>
  </si>
  <si>
    <t>BRANDHUT-19/32</t>
  </si>
  <si>
    <t>BRANDHUT-19/33</t>
  </si>
  <si>
    <t>BRANDHUT-19/34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</si>
</sst>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9]General"/>
    <numFmt numFmtId="165" formatCode="[$-4009]0.00"/>
  </numFmts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5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sz val="10"/>
      <color rgb="FF006600"/>
      <name val="Arial"/>
      <family val="2"/>
      <charset val="1"/>
    </font>
    <font>
      <sz val="11"/>
      <color rgb="FF0066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212121"/>
      <name val="Verdana"/>
      <family val="2"/>
    </font>
    <font>
      <sz val="10"/>
      <color rgb="FFCC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rgb="FF0066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66"/>
        <bgColor rgb="FFFFFF00"/>
      </patternFill>
    </fill>
    <fill>
      <patternFill patternType="solid">
        <fgColor rgb="FFCCFFCC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CC"/>
        <bgColor rgb="FFDDDDDD"/>
      </patternFill>
    </fill>
    <fill>
      <patternFill patternType="solid">
        <fgColor rgb="FF808080"/>
        <bgColor rgb="FF96969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164" fontId="3" fillId="0" borderId="0"/>
    <xf numFmtId="0" fontId="10" fillId="4" borderId="0" applyBorder="0" applyProtection="0"/>
    <xf numFmtId="0" fontId="18" fillId="9" borderId="0" applyBorder="0" applyProtection="0"/>
    <xf numFmtId="0" fontId="19" fillId="10" borderId="0" applyBorder="0" applyProtection="0"/>
    <xf numFmtId="0" fontId="18" fillId="9" borderId="0" applyBorder="0" applyProtection="0"/>
  </cellStyleXfs>
  <cellXfs count="83">
    <xf numFmtId="0" fontId="0" fillId="0" borderId="0" xfId="0"/>
    <xf numFmtId="164" fontId="4" fillId="2" borderId="1" xfId="1" applyFont="1" applyFill="1" applyBorder="1" applyAlignment="1">
      <alignment horizontal="center"/>
    </xf>
    <xf numFmtId="164" fontId="5" fillId="3" borderId="1" xfId="1" applyFont="1" applyFill="1" applyBorder="1" applyAlignment="1">
      <alignment horizontal="center"/>
    </xf>
    <xf numFmtId="164" fontId="6" fillId="2" borderId="1" xfId="1" applyFont="1" applyFill="1" applyBorder="1" applyAlignment="1">
      <alignment horizontal="center" vertical="center" wrapText="1"/>
    </xf>
    <xf numFmtId="164" fontId="7" fillId="2" borderId="1" xfId="1" applyFont="1" applyFill="1" applyBorder="1" applyAlignment="1">
      <alignment horizontal="center" vertical="center" wrapText="1"/>
    </xf>
    <xf numFmtId="164" fontId="5" fillId="3" borderId="1" xfId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1" xfId="0" applyBorder="1"/>
    <xf numFmtId="164" fontId="8" fillId="0" borderId="1" xfId="1" applyFont="1" applyBorder="1" applyAlignment="1">
      <alignment horizontal="center" vertical="center"/>
    </xf>
    <xf numFmtId="164" fontId="8" fillId="0" borderId="1" xfId="1" applyFont="1" applyBorder="1" applyAlignment="1">
      <alignment horizontal="center" vertical="center"/>
    </xf>
    <xf numFmtId="164" fontId="8" fillId="0" borderId="1" xfId="1" applyFont="1" applyBorder="1"/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164" fontId="9" fillId="0" borderId="1" xfId="1" applyFont="1" applyBorder="1"/>
    <xf numFmtId="164" fontId="9" fillId="0" borderId="1" xfId="1" applyFont="1" applyBorder="1" applyAlignment="1">
      <alignment horizontal="center" vertical="center"/>
    </xf>
    <xf numFmtId="164" fontId="9" fillId="0" borderId="1" xfId="1" applyFont="1" applyBorder="1" applyAlignment="1">
      <alignment vertical="center"/>
    </xf>
    <xf numFmtId="164" fontId="9" fillId="0" borderId="1" xfId="1" applyFont="1" applyBorder="1" applyAlignment="1">
      <alignment horizontal="center" vertical="center"/>
    </xf>
    <xf numFmtId="164" fontId="9" fillId="0" borderId="1" xfId="1" applyFont="1" applyBorder="1" applyAlignment="1">
      <alignment horizontal="right" vertical="center"/>
    </xf>
    <xf numFmtId="165" fontId="9" fillId="0" borderId="1" xfId="1" applyNumberFormat="1" applyFont="1" applyBorder="1" applyAlignment="1">
      <alignment horizontal="right" vertical="center"/>
    </xf>
    <xf numFmtId="164" fontId="8" fillId="0" borderId="0" xfId="1" applyFont="1" applyAlignment="1">
      <alignment horizontal="center" vertical="center"/>
    </xf>
    <xf numFmtId="164" fontId="8" fillId="0" borderId="0" xfId="1" applyFont="1"/>
    <xf numFmtId="164" fontId="9" fillId="0" borderId="0" xfId="1" applyFont="1"/>
    <xf numFmtId="164" fontId="9" fillId="0" borderId="0" xfId="1" applyFont="1" applyAlignment="1">
      <alignment vertical="center"/>
    </xf>
    <xf numFmtId="164" fontId="8" fillId="0" borderId="0" xfId="1" applyFont="1" applyAlignment="1">
      <alignment horizontal="right" vertical="center"/>
    </xf>
    <xf numFmtId="164" fontId="11" fillId="4" borderId="0" xfId="2" applyNumberFormat="1" applyFont="1" applyBorder="1" applyAlignment="1" applyProtection="1">
      <alignment horizontal="center"/>
    </xf>
    <xf numFmtId="165" fontId="11" fillId="4" borderId="0" xfId="2" applyNumberFormat="1" applyFont="1" applyBorder="1" applyAlignment="1" applyProtection="1">
      <alignment horizontal="center"/>
    </xf>
    <xf numFmtId="164" fontId="3" fillId="0" borderId="0" xfId="1"/>
    <xf numFmtId="164" fontId="5" fillId="0" borderId="0" xfId="1" applyFont="1"/>
    <xf numFmtId="164" fontId="12" fillId="2" borderId="1" xfId="1" applyFont="1" applyFill="1" applyBorder="1" applyAlignment="1">
      <alignment horizontal="center" vertical="center" wrapText="1"/>
    </xf>
    <xf numFmtId="164" fontId="12" fillId="2" borderId="3" xfId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 wrapText="1"/>
    </xf>
    <xf numFmtId="0" fontId="15" fillId="5" borderId="1" xfId="0" applyFont="1" applyFill="1" applyBorder="1" applyAlignment="1">
      <alignment horizontal="center"/>
    </xf>
    <xf numFmtId="0" fontId="0" fillId="5" borderId="1" xfId="0" applyFill="1" applyBorder="1"/>
    <xf numFmtId="0" fontId="1" fillId="5" borderId="3" xfId="0" applyFont="1" applyFill="1" applyBorder="1" applyAlignment="1">
      <alignment horizontal="center"/>
    </xf>
    <xf numFmtId="0" fontId="16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6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17" fillId="0" borderId="1" xfId="0" applyFont="1" applyBorder="1" applyAlignment="1">
      <alignment horizontal="center"/>
    </xf>
    <xf numFmtId="0" fontId="0" fillId="8" borderId="0" xfId="0" applyFill="1"/>
    <xf numFmtId="0" fontId="1" fillId="8" borderId="4" xfId="0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 vertical="center" wrapText="1"/>
    </xf>
    <xf numFmtId="0" fontId="0" fillId="8" borderId="1" xfId="0" applyFill="1" applyBorder="1"/>
    <xf numFmtId="0" fontId="15" fillId="8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16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21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164" fontId="8" fillId="0" borderId="1" xfId="1" applyFont="1" applyBorder="1" applyAlignment="1">
      <alignment horizontal="right" vertical="center"/>
    </xf>
    <xf numFmtId="164" fontId="22" fillId="4" borderId="1" xfId="2" applyNumberFormat="1" applyFont="1" applyBorder="1" applyAlignment="1" applyProtection="1">
      <alignment horizontal="center"/>
    </xf>
    <xf numFmtId="164" fontId="3" fillId="0" borderId="1" xfId="1" applyBorder="1"/>
    <xf numFmtId="0" fontId="8" fillId="0" borderId="1" xfId="0" applyFont="1" applyBorder="1" applyAlignment="1">
      <alignment horizontal="left" vertical="center"/>
    </xf>
    <xf numFmtId="164" fontId="5" fillId="0" borderId="1" xfId="1" applyFont="1" applyBorder="1"/>
    <xf numFmtId="165" fontId="22" fillId="4" borderId="1" xfId="2" applyNumberFormat="1" applyFont="1" applyBorder="1" applyAlignment="1" applyProtection="1">
      <alignment horizontal="center"/>
    </xf>
  </cellXfs>
  <cellStyles count="6">
    <cellStyle name="Accent 2 7" xfId="4" xr:uid="{3541057B-AE7F-8D4C-81E2-4CC5A40CD2E9}"/>
    <cellStyle name="Bad 4" xfId="5" xr:uid="{0C65DEA1-288B-304A-B6F9-D86F79A629A6}"/>
    <cellStyle name="Bad 5" xfId="3" xr:uid="{C127C0DD-E766-FA49-A18D-841B81C0EC27}"/>
    <cellStyle name="Excel Built-in Normal" xfId="1" xr:uid="{2BCA9057-D46D-C748-86A7-D1B2B8539EC4}"/>
    <cellStyle name="Good 4" xfId="2" xr:uid="{1668FD7C-56FF-F74E-B98E-26AF21E22CF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4415-25EC-9B40-AD58-B357D8F5B8B9}">
  <dimension ref="A1:T279"/>
  <sheetViews>
    <sheetView topLeftCell="A231" workbookViewId="0">
      <selection activeCell="R273" sqref="R273"/>
    </sheetView>
  </sheetViews>
  <sheetFormatPr baseColWidth="10" defaultColWidth="10" defaultRowHeight="16" x14ac:dyDescent="0.2"/>
  <cols>
    <col min="1" max="1" width="5.5" customWidth="1"/>
    <col min="2" max="2" width="6.5" customWidth="1"/>
    <col min="3" max="3" width="26.5" customWidth="1"/>
    <col min="4" max="4" width="8" customWidth="1"/>
    <col min="5" max="5" width="12.33203125" customWidth="1"/>
    <col min="6" max="6" width="44.33203125" customWidth="1"/>
    <col min="7" max="7" width="10.1640625" customWidth="1"/>
    <col min="8" max="8" width="5" customWidth="1"/>
    <col min="9" max="9" width="12.5" customWidth="1"/>
    <col min="10" max="10" width="10.6640625" customWidth="1"/>
    <col min="11" max="11" width="18.5" customWidth="1"/>
    <col min="12" max="12" width="8.1640625" customWidth="1"/>
    <col min="13" max="13" width="9.33203125" hidden="1" customWidth="1"/>
    <col min="14" max="14" width="8.6640625" hidden="1" customWidth="1"/>
    <col min="15" max="15" width="7.5" hidden="1" customWidth="1"/>
    <col min="16" max="16" width="11" customWidth="1"/>
    <col min="17" max="17" width="11.5" hidden="1" customWidth="1"/>
    <col min="18" max="18" width="11.6640625" customWidth="1"/>
    <col min="19" max="19" width="5" customWidth="1"/>
    <col min="20" max="20" width="5.6640625" customWidth="1"/>
  </cols>
  <sheetData>
    <row r="1" spans="1:20" ht="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1</v>
      </c>
      <c r="T1" s="2"/>
    </row>
    <row r="2" spans="1:20" ht="42.75" customHeight="1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3" t="s">
        <v>17</v>
      </c>
      <c r="Q2" s="3" t="s">
        <v>18</v>
      </c>
      <c r="R2" s="3" t="s">
        <v>19</v>
      </c>
      <c r="S2" s="5" t="s">
        <v>20</v>
      </c>
      <c r="T2" s="5" t="s">
        <v>21</v>
      </c>
    </row>
    <row r="3" spans="1:20" ht="14.25" customHeight="1" x14ac:dyDescent="0.2">
      <c r="A3" s="6">
        <v>1</v>
      </c>
      <c r="B3" s="7" t="s">
        <v>22</v>
      </c>
      <c r="C3" s="8" t="s">
        <v>23</v>
      </c>
      <c r="D3" s="9" t="s">
        <v>24</v>
      </c>
      <c r="E3" s="9" t="s">
        <v>25</v>
      </c>
      <c r="F3" s="10" t="s">
        <v>26</v>
      </c>
      <c r="G3" s="9" t="s">
        <v>0</v>
      </c>
      <c r="H3" s="9" t="s">
        <v>27</v>
      </c>
      <c r="I3" s="9">
        <v>28.976554</v>
      </c>
      <c r="J3" s="11">
        <v>77.051351999999994</v>
      </c>
      <c r="K3" s="11" t="s">
        <v>28</v>
      </c>
      <c r="L3" s="11"/>
      <c r="M3" s="9"/>
      <c r="N3" s="9" t="s">
        <v>29</v>
      </c>
      <c r="O3" s="9" t="s">
        <v>29</v>
      </c>
      <c r="P3" s="12" t="s">
        <v>30</v>
      </c>
      <c r="Q3" s="9"/>
      <c r="R3" s="11">
        <f t="shared" ref="R3:R66" si="0">S3*T3</f>
        <v>200</v>
      </c>
      <c r="S3" s="11">
        <v>20</v>
      </c>
      <c r="T3" s="11">
        <v>10</v>
      </c>
    </row>
    <row r="4" spans="1:20" ht="14.25" customHeight="1" x14ac:dyDescent="0.2">
      <c r="A4" s="6"/>
      <c r="B4" s="7"/>
      <c r="C4" s="8"/>
      <c r="D4" s="9" t="s">
        <v>24</v>
      </c>
      <c r="E4" s="9" t="s">
        <v>25</v>
      </c>
      <c r="F4" s="10"/>
      <c r="G4" s="9" t="s">
        <v>0</v>
      </c>
      <c r="H4" s="9" t="s">
        <v>27</v>
      </c>
      <c r="I4" s="9">
        <v>28.976576000000001</v>
      </c>
      <c r="J4" s="11">
        <v>77.049933999999993</v>
      </c>
      <c r="K4" s="11" t="s">
        <v>31</v>
      </c>
      <c r="L4" s="11"/>
      <c r="M4" s="9"/>
      <c r="N4" s="9"/>
      <c r="O4" s="9"/>
      <c r="P4" s="12" t="s">
        <v>32</v>
      </c>
      <c r="Q4" s="9"/>
      <c r="R4" s="11">
        <f t="shared" si="0"/>
        <v>1260</v>
      </c>
      <c r="S4" s="11">
        <v>84</v>
      </c>
      <c r="T4" s="11">
        <v>15</v>
      </c>
    </row>
    <row r="5" spans="1:20" ht="14.25" customHeight="1" x14ac:dyDescent="0.2">
      <c r="A5" s="6"/>
      <c r="B5" s="7"/>
      <c r="C5" s="8"/>
      <c r="D5" s="9" t="s">
        <v>24</v>
      </c>
      <c r="E5" s="9" t="s">
        <v>25</v>
      </c>
      <c r="F5" s="10"/>
      <c r="G5" s="9" t="s">
        <v>0</v>
      </c>
      <c r="H5" s="9" t="s">
        <v>27</v>
      </c>
      <c r="I5" s="9">
        <v>28.976696</v>
      </c>
      <c r="J5" s="11">
        <v>77.050031000000004</v>
      </c>
      <c r="K5" s="11" t="s">
        <v>33</v>
      </c>
      <c r="L5" s="11"/>
      <c r="M5" s="9"/>
      <c r="N5" s="9"/>
      <c r="O5" s="9"/>
      <c r="P5" s="12" t="s">
        <v>32</v>
      </c>
      <c r="Q5" s="9"/>
      <c r="R5" s="11">
        <f t="shared" si="0"/>
        <v>342</v>
      </c>
      <c r="S5" s="11">
        <v>57</v>
      </c>
      <c r="T5" s="11">
        <v>6</v>
      </c>
    </row>
    <row r="6" spans="1:20" ht="14.25" customHeight="1" x14ac:dyDescent="0.2">
      <c r="A6" s="6"/>
      <c r="B6" s="7"/>
      <c r="C6" s="8"/>
      <c r="D6" s="9" t="s">
        <v>24</v>
      </c>
      <c r="E6" s="9" t="s">
        <v>25</v>
      </c>
      <c r="F6" s="10"/>
      <c r="G6" s="9" t="s">
        <v>0</v>
      </c>
      <c r="H6" s="9" t="s">
        <v>27</v>
      </c>
      <c r="I6" s="9">
        <v>28.976638999999999</v>
      </c>
      <c r="J6" s="11">
        <v>77.049913000000004</v>
      </c>
      <c r="K6" s="11" t="s">
        <v>34</v>
      </c>
      <c r="L6" s="11"/>
      <c r="M6" s="9"/>
      <c r="N6" s="9"/>
      <c r="O6" s="9"/>
      <c r="P6" s="12" t="s">
        <v>30</v>
      </c>
      <c r="Q6" s="9"/>
      <c r="R6" s="11">
        <f t="shared" si="0"/>
        <v>427.5</v>
      </c>
      <c r="S6" s="11">
        <v>57</v>
      </c>
      <c r="T6" s="11">
        <v>7.5</v>
      </c>
    </row>
    <row r="7" spans="1:20" ht="14.25" customHeight="1" x14ac:dyDescent="0.2">
      <c r="A7" s="6"/>
      <c r="B7" s="7"/>
      <c r="C7" s="8"/>
      <c r="D7" s="9" t="s">
        <v>24</v>
      </c>
      <c r="E7" s="9" t="s">
        <v>25</v>
      </c>
      <c r="F7" s="10"/>
      <c r="G7" s="9" t="s">
        <v>0</v>
      </c>
      <c r="H7" s="9" t="s">
        <v>27</v>
      </c>
      <c r="I7" s="9">
        <v>28.976610999999998</v>
      </c>
      <c r="J7" s="11">
        <v>77.049757</v>
      </c>
      <c r="K7" s="11" t="s">
        <v>35</v>
      </c>
      <c r="L7" s="11"/>
      <c r="M7" s="9"/>
      <c r="N7" s="9"/>
      <c r="O7" s="9"/>
      <c r="P7" s="12" t="s">
        <v>32</v>
      </c>
      <c r="Q7" s="9"/>
      <c r="R7" s="11">
        <f t="shared" si="0"/>
        <v>270</v>
      </c>
      <c r="S7" s="11">
        <v>36</v>
      </c>
      <c r="T7" s="11">
        <v>7.5</v>
      </c>
    </row>
    <row r="8" spans="1:20" ht="14.25" customHeight="1" x14ac:dyDescent="0.2">
      <c r="A8" s="6"/>
      <c r="B8" s="7"/>
      <c r="C8" s="8"/>
      <c r="D8" s="9" t="s">
        <v>24</v>
      </c>
      <c r="E8" s="9" t="s">
        <v>25</v>
      </c>
      <c r="F8" s="10"/>
      <c r="G8" s="9" t="s">
        <v>0</v>
      </c>
      <c r="H8" s="9" t="s">
        <v>27</v>
      </c>
      <c r="I8" s="9">
        <v>28.976648999999998</v>
      </c>
      <c r="J8" s="11">
        <v>77.050096999999994</v>
      </c>
      <c r="K8" s="11" t="s">
        <v>36</v>
      </c>
      <c r="L8" s="11"/>
      <c r="M8" s="9"/>
      <c r="N8" s="9"/>
      <c r="O8" s="9"/>
      <c r="P8" s="12" t="s">
        <v>32</v>
      </c>
      <c r="Q8" s="9"/>
      <c r="R8" s="11">
        <f t="shared" si="0"/>
        <v>252</v>
      </c>
      <c r="S8" s="11">
        <v>18</v>
      </c>
      <c r="T8" s="11">
        <v>14</v>
      </c>
    </row>
    <row r="9" spans="1:20" ht="14.25" customHeight="1" x14ac:dyDescent="0.2">
      <c r="A9" s="6"/>
      <c r="B9" s="7"/>
      <c r="C9" s="8"/>
      <c r="D9" s="9" t="s">
        <v>24</v>
      </c>
      <c r="E9" s="9" t="s">
        <v>25</v>
      </c>
      <c r="F9" s="10"/>
      <c r="G9" s="9" t="s">
        <v>0</v>
      </c>
      <c r="H9" s="9" t="s">
        <v>27</v>
      </c>
      <c r="I9" s="9">
        <v>28.976651</v>
      </c>
      <c r="J9" s="11">
        <v>77.050116000000003</v>
      </c>
      <c r="K9" s="11" t="s">
        <v>37</v>
      </c>
      <c r="L9" s="11" t="s">
        <v>38</v>
      </c>
      <c r="M9" s="9"/>
      <c r="N9" s="9"/>
      <c r="O9" s="9"/>
      <c r="P9" s="12" t="s">
        <v>32</v>
      </c>
      <c r="Q9" s="9"/>
      <c r="R9" s="11">
        <f t="shared" si="0"/>
        <v>720</v>
      </c>
      <c r="S9" s="11">
        <v>45</v>
      </c>
      <c r="T9" s="11">
        <v>16</v>
      </c>
    </row>
    <row r="10" spans="1:20" ht="14.25" customHeight="1" x14ac:dyDescent="0.2">
      <c r="A10" s="6">
        <v>2</v>
      </c>
      <c r="B10" s="7" t="s">
        <v>22</v>
      </c>
      <c r="C10" s="8" t="s">
        <v>39</v>
      </c>
      <c r="D10" s="9" t="s">
        <v>24</v>
      </c>
      <c r="E10" s="9" t="s">
        <v>25</v>
      </c>
      <c r="F10" s="10" t="s">
        <v>40</v>
      </c>
      <c r="G10" s="9" t="s">
        <v>0</v>
      </c>
      <c r="H10" s="9" t="s">
        <v>27</v>
      </c>
      <c r="I10" s="9">
        <v>28.870875999999999</v>
      </c>
      <c r="J10" s="11">
        <v>76.922016999999997</v>
      </c>
      <c r="K10" s="11" t="s">
        <v>41</v>
      </c>
      <c r="L10" s="11" t="s">
        <v>38</v>
      </c>
      <c r="M10" s="9"/>
      <c r="N10" s="9"/>
      <c r="O10" s="9"/>
      <c r="P10" s="12" t="s">
        <v>42</v>
      </c>
      <c r="Q10" s="9"/>
      <c r="R10" s="11">
        <f t="shared" si="0"/>
        <v>434</v>
      </c>
      <c r="S10" s="11">
        <v>31</v>
      </c>
      <c r="T10" s="11">
        <v>14</v>
      </c>
    </row>
    <row r="11" spans="1:20" ht="14.25" customHeight="1" x14ac:dyDescent="0.2">
      <c r="A11" s="6"/>
      <c r="B11" s="7"/>
      <c r="C11" s="8"/>
      <c r="D11" s="9"/>
      <c r="E11" s="9"/>
      <c r="F11" s="10"/>
      <c r="G11" s="9"/>
      <c r="H11" s="9"/>
      <c r="I11" s="9"/>
      <c r="J11" s="11"/>
      <c r="K11" s="11"/>
      <c r="L11" s="11"/>
      <c r="M11" s="9"/>
      <c r="N11" s="9"/>
      <c r="O11" s="9"/>
      <c r="P11" s="12"/>
      <c r="Q11" s="9"/>
      <c r="R11" s="11">
        <f t="shared" si="0"/>
        <v>520</v>
      </c>
      <c r="S11" s="11">
        <v>26</v>
      </c>
      <c r="T11" s="11">
        <v>20</v>
      </c>
    </row>
    <row r="12" spans="1:20" ht="14.25" customHeight="1" x14ac:dyDescent="0.2">
      <c r="A12" s="6"/>
      <c r="B12" s="7"/>
      <c r="C12" s="8"/>
      <c r="D12" s="9" t="s">
        <v>24</v>
      </c>
      <c r="E12" s="9" t="s">
        <v>25</v>
      </c>
      <c r="F12" s="10"/>
      <c r="G12" s="9" t="s">
        <v>0</v>
      </c>
      <c r="H12" s="9" t="s">
        <v>27</v>
      </c>
      <c r="I12" s="9">
        <v>28.870853</v>
      </c>
      <c r="J12" s="11">
        <v>76.921578999999994</v>
      </c>
      <c r="K12" s="11" t="s">
        <v>43</v>
      </c>
      <c r="L12" s="11"/>
      <c r="M12" s="9"/>
      <c r="N12" s="9"/>
      <c r="O12" s="9"/>
      <c r="P12" s="12" t="s">
        <v>42</v>
      </c>
      <c r="Q12" s="9"/>
      <c r="R12" s="11">
        <f t="shared" si="0"/>
        <v>195</v>
      </c>
      <c r="S12" s="11">
        <v>13</v>
      </c>
      <c r="T12" s="11">
        <v>15</v>
      </c>
    </row>
    <row r="13" spans="1:20" ht="14.25" customHeight="1" x14ac:dyDescent="0.2">
      <c r="A13" s="6"/>
      <c r="B13" s="7"/>
      <c r="C13" s="8"/>
      <c r="D13" s="9" t="s">
        <v>24</v>
      </c>
      <c r="E13" s="9" t="s">
        <v>25</v>
      </c>
      <c r="F13" s="10"/>
      <c r="G13" s="9" t="s">
        <v>0</v>
      </c>
      <c r="H13" s="9" t="s">
        <v>27</v>
      </c>
      <c r="I13" s="9">
        <v>28.869681</v>
      </c>
      <c r="J13" s="11">
        <v>76.929308000000006</v>
      </c>
      <c r="K13" s="11" t="s">
        <v>44</v>
      </c>
      <c r="L13" s="11"/>
      <c r="M13" s="9"/>
      <c r="N13" s="9"/>
      <c r="O13" s="9"/>
      <c r="P13" s="12" t="s">
        <v>42</v>
      </c>
      <c r="Q13" s="9"/>
      <c r="R13" s="11">
        <f t="shared" si="0"/>
        <v>893</v>
      </c>
      <c r="S13" s="11">
        <v>47</v>
      </c>
      <c r="T13" s="11">
        <v>19</v>
      </c>
    </row>
    <row r="14" spans="1:20" ht="14.25" customHeight="1" x14ac:dyDescent="0.2">
      <c r="A14" s="6"/>
      <c r="B14" s="7"/>
      <c r="C14" s="8"/>
      <c r="D14" s="9"/>
      <c r="E14" s="9"/>
      <c r="F14" s="10"/>
      <c r="G14" s="9"/>
      <c r="H14" s="9"/>
      <c r="I14" s="9"/>
      <c r="J14" s="11"/>
      <c r="K14" s="11"/>
      <c r="L14" s="11"/>
      <c r="M14" s="9"/>
      <c r="N14" s="9"/>
      <c r="O14" s="9"/>
      <c r="P14" s="12"/>
      <c r="Q14" s="9"/>
      <c r="R14" s="11">
        <f t="shared" si="0"/>
        <v>64</v>
      </c>
      <c r="S14" s="11">
        <v>8</v>
      </c>
      <c r="T14" s="11">
        <v>8</v>
      </c>
    </row>
    <row r="15" spans="1:20" ht="14.25" customHeight="1" x14ac:dyDescent="0.2">
      <c r="A15" s="6"/>
      <c r="B15" s="7"/>
      <c r="C15" s="8"/>
      <c r="D15" s="9" t="s">
        <v>24</v>
      </c>
      <c r="E15" s="9" t="s">
        <v>25</v>
      </c>
      <c r="F15" s="10"/>
      <c r="G15" s="9" t="s">
        <v>0</v>
      </c>
      <c r="H15" s="9" t="s">
        <v>27</v>
      </c>
      <c r="I15" s="9">
        <v>28.869472999999999</v>
      </c>
      <c r="J15" s="11" t="s">
        <v>45</v>
      </c>
      <c r="K15" s="11" t="s">
        <v>46</v>
      </c>
      <c r="L15" s="11"/>
      <c r="M15" s="9"/>
      <c r="N15" s="9"/>
      <c r="O15" s="9"/>
      <c r="P15" s="12" t="s">
        <v>47</v>
      </c>
      <c r="Q15" s="9"/>
      <c r="R15" s="11">
        <f t="shared" si="0"/>
        <v>999</v>
      </c>
      <c r="S15" s="11">
        <v>54</v>
      </c>
      <c r="T15" s="11">
        <v>18.5</v>
      </c>
    </row>
    <row r="16" spans="1:20" ht="14.25" customHeight="1" x14ac:dyDescent="0.2">
      <c r="A16" s="6"/>
      <c r="B16" s="7"/>
      <c r="C16" s="8"/>
      <c r="D16" s="9" t="s">
        <v>24</v>
      </c>
      <c r="E16" s="9" t="s">
        <v>25</v>
      </c>
      <c r="F16" s="10"/>
      <c r="G16" s="9" t="s">
        <v>0</v>
      </c>
      <c r="H16" s="9" t="s">
        <v>27</v>
      </c>
      <c r="I16" s="9">
        <v>28.869351000000002</v>
      </c>
      <c r="J16" s="11">
        <v>76.926945000000003</v>
      </c>
      <c r="K16" s="11" t="s">
        <v>48</v>
      </c>
      <c r="L16" s="11"/>
      <c r="M16" s="9"/>
      <c r="N16" s="9"/>
      <c r="O16" s="9"/>
      <c r="P16" s="12" t="s">
        <v>47</v>
      </c>
      <c r="Q16" s="9"/>
      <c r="R16" s="11">
        <f t="shared" si="0"/>
        <v>630</v>
      </c>
      <c r="S16" s="11">
        <v>30</v>
      </c>
      <c r="T16" s="11">
        <v>21</v>
      </c>
    </row>
    <row r="17" spans="1:20" ht="14.25" customHeight="1" x14ac:dyDescent="0.2">
      <c r="A17" s="6">
        <v>3</v>
      </c>
      <c r="B17" s="7" t="s">
        <v>22</v>
      </c>
      <c r="C17" s="13" t="s">
        <v>49</v>
      </c>
      <c r="D17" s="9" t="s">
        <v>24</v>
      </c>
      <c r="E17" s="9" t="s">
        <v>50</v>
      </c>
      <c r="F17" s="7" t="s">
        <v>51</v>
      </c>
      <c r="G17" s="9" t="s">
        <v>0</v>
      </c>
      <c r="H17" s="9" t="s">
        <v>27</v>
      </c>
      <c r="I17" s="9"/>
      <c r="J17" s="11"/>
      <c r="K17" s="11" t="s">
        <v>52</v>
      </c>
      <c r="L17" s="11"/>
      <c r="M17" s="9"/>
      <c r="N17" s="9"/>
      <c r="O17" s="9"/>
      <c r="P17" s="12" t="s">
        <v>53</v>
      </c>
      <c r="Q17" s="9"/>
      <c r="R17" s="11">
        <f t="shared" si="0"/>
        <v>690</v>
      </c>
      <c r="S17" s="11">
        <v>60</v>
      </c>
      <c r="T17" s="11">
        <v>11.5</v>
      </c>
    </row>
    <row r="18" spans="1:20" ht="14.25" customHeight="1" x14ac:dyDescent="0.2">
      <c r="A18" s="6"/>
      <c r="B18" s="7"/>
      <c r="C18" s="13"/>
      <c r="D18" s="9" t="s">
        <v>24</v>
      </c>
      <c r="E18" s="9" t="s">
        <v>50</v>
      </c>
      <c r="F18" s="7"/>
      <c r="G18" s="9" t="s">
        <v>0</v>
      </c>
      <c r="H18" s="9" t="s">
        <v>27</v>
      </c>
      <c r="I18" s="9"/>
      <c r="J18" s="11"/>
      <c r="K18" s="11" t="s">
        <v>54</v>
      </c>
      <c r="L18" s="11" t="s">
        <v>38</v>
      </c>
      <c r="M18" s="9"/>
      <c r="N18" s="9"/>
      <c r="O18" s="9"/>
      <c r="P18" s="12" t="s">
        <v>47</v>
      </c>
      <c r="Q18" s="9"/>
      <c r="R18" s="11">
        <f t="shared" si="0"/>
        <v>750</v>
      </c>
      <c r="S18" s="11">
        <v>50</v>
      </c>
      <c r="T18" s="11">
        <v>15</v>
      </c>
    </row>
    <row r="19" spans="1:20" ht="14.25" customHeight="1" x14ac:dyDescent="0.2">
      <c r="A19" s="6"/>
      <c r="B19" s="7"/>
      <c r="C19" s="13"/>
      <c r="D19" s="9" t="s">
        <v>24</v>
      </c>
      <c r="E19" s="9" t="s">
        <v>50</v>
      </c>
      <c r="F19" s="7"/>
      <c r="G19" s="9" t="s">
        <v>0</v>
      </c>
      <c r="H19" s="9" t="s">
        <v>27</v>
      </c>
      <c r="I19" s="9">
        <v>28.765395999999999</v>
      </c>
      <c r="J19" s="11">
        <v>76.763835999999998</v>
      </c>
      <c r="K19" s="11" t="s">
        <v>54</v>
      </c>
      <c r="L19" s="11"/>
      <c r="M19" s="9"/>
      <c r="N19" s="9"/>
      <c r="O19" s="9"/>
      <c r="P19" s="12" t="s">
        <v>47</v>
      </c>
      <c r="Q19" s="9"/>
      <c r="R19" s="11">
        <f t="shared" si="0"/>
        <v>517</v>
      </c>
      <c r="S19" s="11">
        <v>47</v>
      </c>
      <c r="T19" s="11">
        <v>11</v>
      </c>
    </row>
    <row r="20" spans="1:20" ht="14.25" customHeight="1" x14ac:dyDescent="0.2">
      <c r="A20" s="6"/>
      <c r="B20" s="7"/>
      <c r="C20" s="13"/>
      <c r="D20" s="9"/>
      <c r="E20" s="9"/>
      <c r="F20" s="7"/>
      <c r="G20" s="9"/>
      <c r="H20" s="9"/>
      <c r="I20" s="9"/>
      <c r="J20" s="11"/>
      <c r="K20" s="11"/>
      <c r="L20" s="11"/>
      <c r="M20" s="9"/>
      <c r="N20" s="9"/>
      <c r="O20" s="9"/>
      <c r="P20" s="12"/>
      <c r="Q20" s="9"/>
      <c r="R20" s="11">
        <f t="shared" si="0"/>
        <v>370.5</v>
      </c>
      <c r="S20" s="11">
        <v>57</v>
      </c>
      <c r="T20" s="11">
        <v>6.5</v>
      </c>
    </row>
    <row r="21" spans="1:20" ht="14.25" customHeight="1" x14ac:dyDescent="0.2">
      <c r="A21" s="6"/>
      <c r="B21" s="7"/>
      <c r="C21" s="13"/>
      <c r="D21" s="9" t="s">
        <v>24</v>
      </c>
      <c r="E21" s="9" t="s">
        <v>50</v>
      </c>
      <c r="F21" s="7"/>
      <c r="G21" s="9" t="s">
        <v>0</v>
      </c>
      <c r="H21" s="9" t="s">
        <v>27</v>
      </c>
      <c r="I21" s="9">
        <v>28.754370000000002</v>
      </c>
      <c r="J21" s="11">
        <v>76.699070000000006</v>
      </c>
      <c r="K21" s="11" t="s">
        <v>55</v>
      </c>
      <c r="L21" s="11"/>
      <c r="M21" s="9"/>
      <c r="N21" s="9"/>
      <c r="O21" s="9"/>
      <c r="P21" s="12" t="s">
        <v>53</v>
      </c>
      <c r="Q21" s="9"/>
      <c r="R21" s="11">
        <f t="shared" si="0"/>
        <v>416</v>
      </c>
      <c r="S21" s="11">
        <v>32</v>
      </c>
      <c r="T21" s="11">
        <v>13</v>
      </c>
    </row>
    <row r="22" spans="1:20" ht="14.25" customHeight="1" x14ac:dyDescent="0.2">
      <c r="A22" s="6"/>
      <c r="B22" s="7"/>
      <c r="C22" s="13"/>
      <c r="D22" s="9"/>
      <c r="E22" s="9"/>
      <c r="F22" s="7"/>
      <c r="G22" s="9"/>
      <c r="H22" s="9"/>
      <c r="I22" s="9"/>
      <c r="J22" s="11"/>
      <c r="K22" s="11"/>
      <c r="L22" s="11"/>
      <c r="M22" s="9"/>
      <c r="N22" s="9"/>
      <c r="O22" s="9"/>
      <c r="P22" s="12"/>
      <c r="Q22" s="9"/>
      <c r="R22" s="11">
        <f t="shared" si="0"/>
        <v>280</v>
      </c>
      <c r="S22" s="11">
        <v>28</v>
      </c>
      <c r="T22" s="11">
        <v>10</v>
      </c>
    </row>
    <row r="23" spans="1:20" ht="14.25" customHeight="1" x14ac:dyDescent="0.2">
      <c r="A23" s="6"/>
      <c r="B23" s="7"/>
      <c r="C23" s="13"/>
      <c r="D23" s="9" t="s">
        <v>24</v>
      </c>
      <c r="E23" s="9" t="s">
        <v>50</v>
      </c>
      <c r="F23" s="7"/>
      <c r="G23" s="9" t="s">
        <v>0</v>
      </c>
      <c r="H23" s="9" t="s">
        <v>27</v>
      </c>
      <c r="I23" s="9"/>
      <c r="J23" s="11"/>
      <c r="K23" s="11" t="s">
        <v>56</v>
      </c>
      <c r="L23" s="11"/>
      <c r="M23" s="9"/>
      <c r="N23" s="9"/>
      <c r="O23" s="9"/>
      <c r="P23" s="12" t="s">
        <v>53</v>
      </c>
      <c r="Q23" s="9"/>
      <c r="R23" s="11">
        <f t="shared" si="0"/>
        <v>855</v>
      </c>
      <c r="S23" s="11">
        <v>57</v>
      </c>
      <c r="T23" s="11">
        <v>15</v>
      </c>
    </row>
    <row r="24" spans="1:20" ht="14.25" customHeight="1" x14ac:dyDescent="0.2">
      <c r="A24" s="6"/>
      <c r="B24" s="7"/>
      <c r="C24" s="13"/>
      <c r="D24" s="11"/>
      <c r="E24" s="11"/>
      <c r="F24" s="7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>
        <f t="shared" si="0"/>
        <v>35</v>
      </c>
      <c r="S24" s="11">
        <v>7</v>
      </c>
      <c r="T24" s="11">
        <v>5</v>
      </c>
    </row>
    <row r="25" spans="1:20" ht="14.25" customHeight="1" x14ac:dyDescent="0.2">
      <c r="A25" s="6"/>
      <c r="B25" s="7"/>
      <c r="C25" s="13"/>
      <c r="D25" s="11" t="s">
        <v>24</v>
      </c>
      <c r="E25" s="11" t="s">
        <v>50</v>
      </c>
      <c r="F25" s="7"/>
      <c r="G25" s="11" t="s">
        <v>0</v>
      </c>
      <c r="H25" s="11" t="s">
        <v>27</v>
      </c>
      <c r="I25" s="11"/>
      <c r="J25" s="11"/>
      <c r="K25" s="11" t="s">
        <v>57</v>
      </c>
      <c r="L25" s="11"/>
      <c r="M25" s="11"/>
      <c r="N25" s="11"/>
      <c r="O25" s="11"/>
      <c r="P25" s="11" t="s">
        <v>53</v>
      </c>
      <c r="Q25" s="11"/>
      <c r="R25" s="11">
        <f t="shared" si="0"/>
        <v>1160</v>
      </c>
      <c r="S25" s="11">
        <v>58</v>
      </c>
      <c r="T25" s="11">
        <v>20</v>
      </c>
    </row>
    <row r="26" spans="1:20" ht="14.25" customHeight="1" x14ac:dyDescent="0.2">
      <c r="A26" s="6">
        <v>4</v>
      </c>
      <c r="B26" s="7" t="s">
        <v>22</v>
      </c>
      <c r="C26" s="8" t="s">
        <v>58</v>
      </c>
      <c r="D26" s="11" t="s">
        <v>24</v>
      </c>
      <c r="E26" s="11" t="s">
        <v>59</v>
      </c>
      <c r="F26" s="6" t="s">
        <v>60</v>
      </c>
      <c r="G26" s="11" t="s">
        <v>0</v>
      </c>
      <c r="H26" s="11" t="s">
        <v>27</v>
      </c>
      <c r="I26" s="11"/>
      <c r="J26" s="11"/>
      <c r="K26" s="11" t="s">
        <v>61</v>
      </c>
      <c r="L26" s="11"/>
      <c r="M26" s="11"/>
      <c r="N26" s="11"/>
      <c r="O26" s="11"/>
      <c r="P26" s="11" t="s">
        <v>62</v>
      </c>
      <c r="Q26" s="11"/>
      <c r="R26" s="11">
        <f t="shared" si="0"/>
        <v>672</v>
      </c>
      <c r="S26" s="11">
        <v>56</v>
      </c>
      <c r="T26" s="11">
        <v>12</v>
      </c>
    </row>
    <row r="27" spans="1:20" ht="14.25" customHeight="1" x14ac:dyDescent="0.2">
      <c r="A27" s="6"/>
      <c r="B27" s="7"/>
      <c r="C27" s="8"/>
      <c r="D27" s="11" t="s">
        <v>24</v>
      </c>
      <c r="E27" s="11" t="s">
        <v>59</v>
      </c>
      <c r="F27" s="6"/>
      <c r="G27" s="11" t="s">
        <v>0</v>
      </c>
      <c r="H27" s="11" t="s">
        <v>27</v>
      </c>
      <c r="I27" s="11"/>
      <c r="J27" s="11"/>
      <c r="K27" s="11" t="s">
        <v>63</v>
      </c>
      <c r="L27" s="11"/>
      <c r="M27" s="11"/>
      <c r="N27" s="11"/>
      <c r="O27" s="11"/>
      <c r="P27" s="11" t="s">
        <v>62</v>
      </c>
      <c r="Q27" s="11"/>
      <c r="R27" s="11">
        <f t="shared" si="0"/>
        <v>529</v>
      </c>
      <c r="S27" s="11">
        <v>46</v>
      </c>
      <c r="T27" s="11">
        <v>11.5</v>
      </c>
    </row>
    <row r="28" spans="1:20" ht="14.25" customHeight="1" x14ac:dyDescent="0.2">
      <c r="A28" s="6"/>
      <c r="B28" s="7"/>
      <c r="C28" s="8"/>
      <c r="D28" s="11"/>
      <c r="E28" s="11"/>
      <c r="F28" s="6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>
        <f t="shared" si="0"/>
        <v>68</v>
      </c>
      <c r="S28" s="11">
        <v>8</v>
      </c>
      <c r="T28" s="11">
        <v>8.5</v>
      </c>
    </row>
    <row r="29" spans="1:20" ht="14.25" customHeight="1" x14ac:dyDescent="0.2">
      <c r="A29" s="6"/>
      <c r="B29" s="7"/>
      <c r="C29" s="8"/>
      <c r="D29" s="11"/>
      <c r="E29" s="11"/>
      <c r="F29" s="6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>
        <f t="shared" si="0"/>
        <v>90</v>
      </c>
      <c r="S29" s="11">
        <v>9</v>
      </c>
      <c r="T29" s="11">
        <v>10</v>
      </c>
    </row>
    <row r="30" spans="1:20" ht="14.25" customHeight="1" x14ac:dyDescent="0.2">
      <c r="A30" s="6"/>
      <c r="B30" s="7"/>
      <c r="C30" s="8"/>
      <c r="D30" s="11" t="s">
        <v>24</v>
      </c>
      <c r="E30" s="11" t="s">
        <v>59</v>
      </c>
      <c r="F30" s="6"/>
      <c r="G30" s="11" t="s">
        <v>0</v>
      </c>
      <c r="H30" s="11" t="s">
        <v>27</v>
      </c>
      <c r="I30" s="11"/>
      <c r="J30" s="11"/>
      <c r="K30" s="11" t="s">
        <v>64</v>
      </c>
      <c r="L30" s="11"/>
      <c r="M30" s="11"/>
      <c r="N30" s="11"/>
      <c r="O30" s="11"/>
      <c r="P30" s="11" t="s">
        <v>62</v>
      </c>
      <c r="Q30" s="11"/>
      <c r="R30" s="11">
        <f t="shared" si="0"/>
        <v>540</v>
      </c>
      <c r="S30" s="11">
        <v>40</v>
      </c>
      <c r="T30" s="11">
        <v>13.5</v>
      </c>
    </row>
    <row r="31" spans="1:20" ht="14.25" customHeight="1" x14ac:dyDescent="0.2">
      <c r="A31" s="6"/>
      <c r="B31" s="7"/>
      <c r="C31" s="8"/>
      <c r="D31" s="11"/>
      <c r="E31" s="11"/>
      <c r="F31" s="6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>
        <f t="shared" si="0"/>
        <v>460</v>
      </c>
      <c r="S31" s="11">
        <v>40</v>
      </c>
      <c r="T31" s="11">
        <v>11.5</v>
      </c>
    </row>
    <row r="32" spans="1:20" ht="14.25" customHeight="1" x14ac:dyDescent="0.2">
      <c r="A32" s="6"/>
      <c r="B32" s="7"/>
      <c r="C32" s="8"/>
      <c r="D32" s="11" t="s">
        <v>24</v>
      </c>
      <c r="E32" s="11" t="s">
        <v>59</v>
      </c>
      <c r="F32" s="6"/>
      <c r="G32" s="11" t="s">
        <v>0</v>
      </c>
      <c r="H32" s="11" t="s">
        <v>27</v>
      </c>
      <c r="I32" s="11"/>
      <c r="J32" s="11"/>
      <c r="K32" s="11" t="s">
        <v>65</v>
      </c>
      <c r="L32" s="11"/>
      <c r="M32" s="11"/>
      <c r="N32" s="11"/>
      <c r="O32" s="11"/>
      <c r="P32" s="11" t="s">
        <v>66</v>
      </c>
      <c r="Q32" s="11"/>
      <c r="R32" s="11">
        <f t="shared" si="0"/>
        <v>693.5</v>
      </c>
      <c r="S32" s="11">
        <v>73</v>
      </c>
      <c r="T32" s="11">
        <v>9.5</v>
      </c>
    </row>
    <row r="33" spans="1:20" ht="14.25" customHeight="1" x14ac:dyDescent="0.2">
      <c r="A33" s="6"/>
      <c r="B33" s="7"/>
      <c r="C33" s="8"/>
      <c r="D33" s="11" t="s">
        <v>24</v>
      </c>
      <c r="E33" s="11" t="s">
        <v>59</v>
      </c>
      <c r="F33" s="6"/>
      <c r="G33" s="11" t="s">
        <v>0</v>
      </c>
      <c r="H33" s="11" t="s">
        <v>27</v>
      </c>
      <c r="I33" s="11"/>
      <c r="J33" s="11"/>
      <c r="K33" s="11" t="s">
        <v>67</v>
      </c>
      <c r="L33" s="11"/>
      <c r="M33" s="11"/>
      <c r="N33" s="11"/>
      <c r="O33" s="11"/>
      <c r="P33" s="11" t="s">
        <v>66</v>
      </c>
      <c r="Q33" s="11"/>
      <c r="R33" s="11">
        <f t="shared" si="0"/>
        <v>1080</v>
      </c>
      <c r="S33" s="11">
        <v>60</v>
      </c>
      <c r="T33" s="11">
        <v>18</v>
      </c>
    </row>
    <row r="34" spans="1:20" ht="14.25" customHeight="1" x14ac:dyDescent="0.2">
      <c r="A34" s="6"/>
      <c r="B34" s="7"/>
      <c r="C34" s="8"/>
      <c r="D34" s="9"/>
      <c r="E34" s="9"/>
      <c r="F34" s="6"/>
      <c r="G34" s="9"/>
      <c r="H34" s="9"/>
      <c r="I34" s="9"/>
      <c r="J34" s="11"/>
      <c r="K34" s="11"/>
      <c r="L34" s="11"/>
      <c r="M34" s="11"/>
      <c r="N34" s="11"/>
      <c r="O34" s="11"/>
      <c r="P34" s="12"/>
      <c r="Q34" s="11"/>
      <c r="R34" s="11">
        <f t="shared" si="0"/>
        <v>96</v>
      </c>
      <c r="S34" s="11">
        <v>32</v>
      </c>
      <c r="T34" s="11">
        <v>3</v>
      </c>
    </row>
    <row r="35" spans="1:20" ht="14.25" customHeight="1" x14ac:dyDescent="0.2">
      <c r="A35" s="6">
        <v>5</v>
      </c>
      <c r="B35" s="7" t="s">
        <v>22</v>
      </c>
      <c r="C35" s="13" t="s">
        <v>68</v>
      </c>
      <c r="D35" s="11" t="s">
        <v>24</v>
      </c>
      <c r="E35" s="11" t="s">
        <v>69</v>
      </c>
      <c r="F35" s="6" t="s">
        <v>70</v>
      </c>
      <c r="G35" s="11" t="s">
        <v>0</v>
      </c>
      <c r="H35" s="11" t="s">
        <v>27</v>
      </c>
      <c r="I35" s="11"/>
      <c r="J35" s="11"/>
      <c r="K35" s="11" t="s">
        <v>28</v>
      </c>
      <c r="L35" s="11"/>
      <c r="M35" s="11"/>
      <c r="N35" s="11"/>
      <c r="O35" s="11"/>
      <c r="P35" s="11" t="s">
        <v>30</v>
      </c>
      <c r="Q35" s="11"/>
      <c r="R35" s="11">
        <f t="shared" si="0"/>
        <v>800</v>
      </c>
      <c r="S35" s="11">
        <v>50</v>
      </c>
      <c r="T35" s="11">
        <v>16</v>
      </c>
    </row>
    <row r="36" spans="1:20" ht="14.25" customHeight="1" x14ac:dyDescent="0.2">
      <c r="A36" s="6"/>
      <c r="B36" s="7"/>
      <c r="C36" s="13"/>
      <c r="D36" s="11" t="s">
        <v>24</v>
      </c>
      <c r="E36" s="11" t="s">
        <v>69</v>
      </c>
      <c r="F36" s="6"/>
      <c r="G36" s="11" t="s">
        <v>0</v>
      </c>
      <c r="H36" s="11" t="s">
        <v>27</v>
      </c>
      <c r="I36" s="11"/>
      <c r="J36" s="11"/>
      <c r="K36" s="11" t="s">
        <v>31</v>
      </c>
      <c r="L36" s="11"/>
      <c r="M36" s="11"/>
      <c r="N36" s="11"/>
      <c r="O36" s="11"/>
      <c r="P36" s="11" t="s">
        <v>30</v>
      </c>
      <c r="Q36" s="11"/>
      <c r="R36" s="11">
        <f t="shared" si="0"/>
        <v>504</v>
      </c>
      <c r="S36" s="11">
        <v>42</v>
      </c>
      <c r="T36" s="11">
        <v>12</v>
      </c>
    </row>
    <row r="37" spans="1:20" ht="14.25" customHeight="1" x14ac:dyDescent="0.2">
      <c r="A37" s="6"/>
      <c r="B37" s="7"/>
      <c r="C37" s="13"/>
      <c r="D37" s="11" t="s">
        <v>24</v>
      </c>
      <c r="E37" s="11" t="s">
        <v>69</v>
      </c>
      <c r="F37" s="6"/>
      <c r="G37" s="11" t="s">
        <v>0</v>
      </c>
      <c r="H37" s="11" t="s">
        <v>27</v>
      </c>
      <c r="I37" s="11"/>
      <c r="J37" s="11"/>
      <c r="K37" s="11" t="s">
        <v>33</v>
      </c>
      <c r="L37" s="11"/>
      <c r="M37" s="11"/>
      <c r="N37" s="11"/>
      <c r="O37" s="11"/>
      <c r="P37" s="11" t="s">
        <v>30</v>
      </c>
      <c r="Q37" s="11"/>
      <c r="R37" s="11">
        <f t="shared" si="0"/>
        <v>416.5</v>
      </c>
      <c r="S37" s="11">
        <v>49</v>
      </c>
      <c r="T37" s="11">
        <v>8.5</v>
      </c>
    </row>
    <row r="38" spans="1:20" ht="14.25" customHeight="1" x14ac:dyDescent="0.2">
      <c r="A38" s="6"/>
      <c r="B38" s="7"/>
      <c r="C38" s="13"/>
      <c r="D38" s="11" t="s">
        <v>24</v>
      </c>
      <c r="E38" s="11" t="s">
        <v>69</v>
      </c>
      <c r="F38" s="6"/>
      <c r="G38" s="11" t="s">
        <v>0</v>
      </c>
      <c r="H38" s="11" t="s">
        <v>27</v>
      </c>
      <c r="I38" s="11"/>
      <c r="J38" s="11"/>
      <c r="K38" s="11" t="s">
        <v>34</v>
      </c>
      <c r="L38" s="11"/>
      <c r="M38" s="11"/>
      <c r="N38" s="11"/>
      <c r="O38" s="11"/>
      <c r="P38" s="11" t="s">
        <v>30</v>
      </c>
      <c r="Q38" s="11"/>
      <c r="R38" s="11">
        <f t="shared" si="0"/>
        <v>1170</v>
      </c>
      <c r="S38" s="11">
        <v>60</v>
      </c>
      <c r="T38" s="11">
        <v>19.5</v>
      </c>
    </row>
    <row r="39" spans="1:20" ht="14.25" customHeight="1" x14ac:dyDescent="0.2">
      <c r="A39" s="6"/>
      <c r="B39" s="7"/>
      <c r="C39" s="13"/>
      <c r="D39" s="11" t="s">
        <v>24</v>
      </c>
      <c r="E39" s="11" t="s">
        <v>69</v>
      </c>
      <c r="F39" s="6"/>
      <c r="G39" s="11" t="s">
        <v>0</v>
      </c>
      <c r="H39" s="11" t="s">
        <v>27</v>
      </c>
      <c r="I39" s="11"/>
      <c r="J39" s="11"/>
      <c r="K39" s="11" t="s">
        <v>35</v>
      </c>
      <c r="L39" s="11"/>
      <c r="M39" s="11"/>
      <c r="N39" s="11"/>
      <c r="O39" s="11"/>
      <c r="P39" s="11" t="s">
        <v>30</v>
      </c>
      <c r="Q39" s="11"/>
      <c r="R39" s="11">
        <f t="shared" si="0"/>
        <v>786</v>
      </c>
      <c r="S39" s="11">
        <v>131</v>
      </c>
      <c r="T39" s="11">
        <v>6</v>
      </c>
    </row>
    <row r="40" spans="1:20" ht="14.25" customHeight="1" x14ac:dyDescent="0.2">
      <c r="A40" s="6">
        <v>6</v>
      </c>
      <c r="B40" s="7" t="s">
        <v>22</v>
      </c>
      <c r="C40" s="8" t="s">
        <v>71</v>
      </c>
      <c r="D40" s="11" t="s">
        <v>24</v>
      </c>
      <c r="E40" s="11" t="s">
        <v>69</v>
      </c>
      <c r="F40" s="14" t="s">
        <v>72</v>
      </c>
      <c r="G40" s="11" t="s">
        <v>0</v>
      </c>
      <c r="H40" s="11" t="s">
        <v>27</v>
      </c>
      <c r="I40" s="11"/>
      <c r="J40" s="11"/>
      <c r="K40" s="11" t="s">
        <v>73</v>
      </c>
      <c r="L40" s="11"/>
      <c r="M40" s="11"/>
      <c r="N40" s="11"/>
      <c r="O40" s="11"/>
      <c r="P40" s="11" t="s">
        <v>32</v>
      </c>
      <c r="Q40" s="11"/>
      <c r="R40" s="11">
        <f t="shared" si="0"/>
        <v>936</v>
      </c>
      <c r="S40" s="11">
        <v>78</v>
      </c>
      <c r="T40" s="11">
        <v>12</v>
      </c>
    </row>
    <row r="41" spans="1:20" ht="14.25" customHeight="1" x14ac:dyDescent="0.2">
      <c r="A41" s="6"/>
      <c r="B41" s="7"/>
      <c r="C41" s="8"/>
      <c r="D41" s="11"/>
      <c r="E41" s="11"/>
      <c r="F41" s="14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f t="shared" si="0"/>
        <v>120</v>
      </c>
      <c r="S41" s="11">
        <v>30</v>
      </c>
      <c r="T41" s="11">
        <v>4</v>
      </c>
    </row>
    <row r="42" spans="1:20" ht="14.25" customHeight="1" x14ac:dyDescent="0.2">
      <c r="A42" s="6"/>
      <c r="B42" s="7"/>
      <c r="C42" s="8"/>
      <c r="D42" s="11" t="s">
        <v>24</v>
      </c>
      <c r="E42" s="11" t="s">
        <v>69</v>
      </c>
      <c r="F42" s="14"/>
      <c r="G42" s="11" t="s">
        <v>0</v>
      </c>
      <c r="H42" s="11" t="s">
        <v>27</v>
      </c>
      <c r="I42" s="11"/>
      <c r="J42" s="11"/>
      <c r="K42" s="11" t="s">
        <v>74</v>
      </c>
      <c r="L42" s="11"/>
      <c r="M42" s="11"/>
      <c r="N42" s="11"/>
      <c r="O42" s="11"/>
      <c r="P42" s="11" t="s">
        <v>32</v>
      </c>
      <c r="Q42" s="11"/>
      <c r="R42" s="11">
        <f t="shared" si="0"/>
        <v>720</v>
      </c>
      <c r="S42" s="11">
        <v>60</v>
      </c>
      <c r="T42" s="11">
        <v>12</v>
      </c>
    </row>
    <row r="43" spans="1:20" ht="14.25" customHeight="1" x14ac:dyDescent="0.2">
      <c r="A43" s="6"/>
      <c r="B43" s="7"/>
      <c r="C43" s="8"/>
      <c r="D43" s="11" t="s">
        <v>24</v>
      </c>
      <c r="E43" s="11" t="s">
        <v>69</v>
      </c>
      <c r="F43" s="14"/>
      <c r="G43" s="11" t="s">
        <v>0</v>
      </c>
      <c r="H43" s="11" t="s">
        <v>27</v>
      </c>
      <c r="I43" s="11"/>
      <c r="J43" s="11"/>
      <c r="K43" s="11" t="s">
        <v>41</v>
      </c>
      <c r="L43" s="11"/>
      <c r="M43" s="11"/>
      <c r="N43" s="11"/>
      <c r="O43" s="11"/>
      <c r="P43" s="11" t="s">
        <v>32</v>
      </c>
      <c r="Q43" s="11"/>
      <c r="R43" s="11">
        <f t="shared" si="0"/>
        <v>391</v>
      </c>
      <c r="S43" s="11">
        <v>23</v>
      </c>
      <c r="T43" s="11">
        <v>17</v>
      </c>
    </row>
    <row r="44" spans="1:20" ht="14.25" customHeight="1" x14ac:dyDescent="0.2">
      <c r="A44" s="6"/>
      <c r="B44" s="7"/>
      <c r="C44" s="8"/>
      <c r="D44" s="11"/>
      <c r="E44" s="11"/>
      <c r="F44" s="14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f t="shared" si="0"/>
        <v>312</v>
      </c>
      <c r="S44" s="11">
        <v>26</v>
      </c>
      <c r="T44" s="11">
        <v>12</v>
      </c>
    </row>
    <row r="45" spans="1:20" ht="14.25" customHeight="1" x14ac:dyDescent="0.2">
      <c r="A45" s="6"/>
      <c r="B45" s="7"/>
      <c r="C45" s="8"/>
      <c r="D45" s="11" t="s">
        <v>24</v>
      </c>
      <c r="E45" s="11" t="s">
        <v>69</v>
      </c>
      <c r="F45" s="14"/>
      <c r="G45" s="11" t="s">
        <v>0</v>
      </c>
      <c r="H45" s="11" t="s">
        <v>27</v>
      </c>
      <c r="I45" s="11"/>
      <c r="J45" s="11"/>
      <c r="K45" s="11" t="s">
        <v>43</v>
      </c>
      <c r="L45" s="11"/>
      <c r="M45" s="11"/>
      <c r="N45" s="11"/>
      <c r="O45" s="11"/>
      <c r="P45" s="11" t="s">
        <v>32</v>
      </c>
      <c r="Q45" s="11"/>
      <c r="R45" s="11">
        <f t="shared" si="0"/>
        <v>666</v>
      </c>
      <c r="S45" s="11">
        <v>36</v>
      </c>
      <c r="T45" s="11">
        <v>18.5</v>
      </c>
    </row>
    <row r="46" spans="1:20" ht="14.25" customHeight="1" x14ac:dyDescent="0.2">
      <c r="A46" s="6"/>
      <c r="B46" s="7"/>
      <c r="C46" s="8"/>
      <c r="D46" s="11" t="s">
        <v>24</v>
      </c>
      <c r="E46" s="11" t="s">
        <v>69</v>
      </c>
      <c r="F46" s="14"/>
      <c r="G46" s="11" t="s">
        <v>0</v>
      </c>
      <c r="H46" s="11" t="s">
        <v>27</v>
      </c>
      <c r="I46" s="11"/>
      <c r="J46" s="11"/>
      <c r="K46" s="11" t="s">
        <v>44</v>
      </c>
      <c r="L46" s="11"/>
      <c r="M46" s="11"/>
      <c r="N46" s="11"/>
      <c r="O46" s="11"/>
      <c r="P46" s="11" t="s">
        <v>32</v>
      </c>
      <c r="Q46" s="11"/>
      <c r="R46" s="11">
        <f t="shared" si="0"/>
        <v>476</v>
      </c>
      <c r="S46" s="11">
        <v>34</v>
      </c>
      <c r="T46" s="11">
        <v>14</v>
      </c>
    </row>
    <row r="47" spans="1:20" ht="14.25" customHeight="1" x14ac:dyDescent="0.2">
      <c r="A47" s="6">
        <v>7</v>
      </c>
      <c r="B47" s="7" t="s">
        <v>22</v>
      </c>
      <c r="C47" s="13" t="s">
        <v>75</v>
      </c>
      <c r="D47" s="11" t="s">
        <v>24</v>
      </c>
      <c r="E47" s="11" t="s">
        <v>69</v>
      </c>
      <c r="F47" s="6" t="s">
        <v>76</v>
      </c>
      <c r="G47" s="11" t="s">
        <v>0</v>
      </c>
      <c r="H47" s="11" t="s">
        <v>27</v>
      </c>
      <c r="I47" s="11"/>
      <c r="J47" s="11"/>
      <c r="K47" s="11" t="s">
        <v>77</v>
      </c>
      <c r="L47" s="11"/>
      <c r="M47" s="11"/>
      <c r="N47" s="11"/>
      <c r="O47" s="11"/>
      <c r="P47" s="11" t="s">
        <v>42</v>
      </c>
      <c r="Q47" s="11"/>
      <c r="R47" s="11">
        <f t="shared" si="0"/>
        <v>315</v>
      </c>
      <c r="S47" s="11">
        <v>45</v>
      </c>
      <c r="T47" s="11">
        <v>7</v>
      </c>
    </row>
    <row r="48" spans="1:20" ht="14.25" customHeight="1" x14ac:dyDescent="0.2">
      <c r="A48" s="6"/>
      <c r="B48" s="7"/>
      <c r="C48" s="13"/>
      <c r="D48" s="11"/>
      <c r="E48" s="11"/>
      <c r="F48" s="6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>
        <f t="shared" si="0"/>
        <v>456</v>
      </c>
      <c r="S48" s="11">
        <v>38</v>
      </c>
      <c r="T48" s="11">
        <v>12</v>
      </c>
    </row>
    <row r="49" spans="1:20" ht="14.25" customHeight="1" x14ac:dyDescent="0.2">
      <c r="A49" s="6"/>
      <c r="B49" s="7"/>
      <c r="C49" s="13"/>
      <c r="D49" s="11" t="s">
        <v>24</v>
      </c>
      <c r="E49" s="11" t="s">
        <v>69</v>
      </c>
      <c r="F49" s="6"/>
      <c r="G49" s="11" t="s">
        <v>0</v>
      </c>
      <c r="H49" s="11" t="s">
        <v>27</v>
      </c>
      <c r="I49" s="11"/>
      <c r="J49" s="11"/>
      <c r="K49" s="11" t="s">
        <v>78</v>
      </c>
      <c r="L49" s="11"/>
      <c r="M49" s="11"/>
      <c r="N49" s="11"/>
      <c r="O49" s="11"/>
      <c r="P49" s="11" t="s">
        <v>42</v>
      </c>
      <c r="Q49" s="11"/>
      <c r="R49" s="11">
        <f t="shared" si="0"/>
        <v>510</v>
      </c>
      <c r="S49" s="11">
        <v>51</v>
      </c>
      <c r="T49" s="11">
        <v>10</v>
      </c>
    </row>
    <row r="50" spans="1:20" ht="14.25" customHeight="1" x14ac:dyDescent="0.2">
      <c r="A50" s="6">
        <v>8</v>
      </c>
      <c r="B50" s="7" t="s">
        <v>22</v>
      </c>
      <c r="C50" s="8" t="s">
        <v>79</v>
      </c>
      <c r="D50" s="11" t="s">
        <v>24</v>
      </c>
      <c r="E50" s="11" t="s">
        <v>69</v>
      </c>
      <c r="F50" s="6" t="s">
        <v>80</v>
      </c>
      <c r="G50" s="11" t="s">
        <v>0</v>
      </c>
      <c r="H50" s="11" t="s">
        <v>27</v>
      </c>
      <c r="I50" s="11"/>
      <c r="J50" s="11"/>
      <c r="K50" s="11" t="s">
        <v>81</v>
      </c>
      <c r="L50" s="11"/>
      <c r="M50" s="11"/>
      <c r="N50" s="11"/>
      <c r="O50" s="11"/>
      <c r="P50" s="11" t="s">
        <v>47</v>
      </c>
      <c r="Q50" s="11"/>
      <c r="R50" s="11">
        <f t="shared" si="0"/>
        <v>1105</v>
      </c>
      <c r="S50" s="11">
        <v>65</v>
      </c>
      <c r="T50" s="11">
        <v>17</v>
      </c>
    </row>
    <row r="51" spans="1:20" ht="14.25" customHeight="1" x14ac:dyDescent="0.2">
      <c r="A51" s="6"/>
      <c r="B51" s="7"/>
      <c r="C51" s="8"/>
      <c r="D51" s="11" t="s">
        <v>24</v>
      </c>
      <c r="E51" s="11" t="s">
        <v>69</v>
      </c>
      <c r="F51" s="6"/>
      <c r="G51" s="11" t="s">
        <v>0</v>
      </c>
      <c r="H51" s="11" t="s">
        <v>27</v>
      </c>
      <c r="I51" s="11"/>
      <c r="J51" s="11"/>
      <c r="K51" s="11" t="s">
        <v>82</v>
      </c>
      <c r="L51" s="11"/>
      <c r="M51" s="11"/>
      <c r="N51" s="11"/>
      <c r="O51" s="11"/>
      <c r="P51" s="11" t="s">
        <v>47</v>
      </c>
      <c r="Q51" s="11"/>
      <c r="R51" s="11">
        <f t="shared" si="0"/>
        <v>200</v>
      </c>
      <c r="S51" s="11">
        <v>25</v>
      </c>
      <c r="T51" s="11">
        <v>8</v>
      </c>
    </row>
    <row r="52" spans="1:20" ht="14.25" customHeight="1" x14ac:dyDescent="0.2">
      <c r="A52" s="6">
        <v>9</v>
      </c>
      <c r="B52" s="7" t="s">
        <v>22</v>
      </c>
      <c r="C52" s="8" t="s">
        <v>83</v>
      </c>
      <c r="D52" s="11" t="s">
        <v>24</v>
      </c>
      <c r="E52" s="11" t="s">
        <v>69</v>
      </c>
      <c r="F52" s="6" t="s">
        <v>84</v>
      </c>
      <c r="G52" s="11" t="s">
        <v>0</v>
      </c>
      <c r="H52" s="11" t="s">
        <v>27</v>
      </c>
      <c r="I52" s="11"/>
      <c r="J52" s="11"/>
      <c r="K52" s="11" t="s">
        <v>85</v>
      </c>
      <c r="L52" s="11"/>
      <c r="M52" s="11"/>
      <c r="N52" s="11"/>
      <c r="O52" s="11"/>
      <c r="P52" s="11" t="s">
        <v>47</v>
      </c>
      <c r="Q52" s="11"/>
      <c r="R52" s="11">
        <f t="shared" si="0"/>
        <v>640</v>
      </c>
      <c r="S52" s="11">
        <v>40</v>
      </c>
      <c r="T52" s="11">
        <v>16</v>
      </c>
    </row>
    <row r="53" spans="1:20" ht="14.25" customHeight="1" x14ac:dyDescent="0.2">
      <c r="A53" s="6"/>
      <c r="B53" s="7"/>
      <c r="C53" s="8"/>
      <c r="D53" s="11" t="s">
        <v>24</v>
      </c>
      <c r="E53" s="11" t="s">
        <v>69</v>
      </c>
      <c r="F53" s="6"/>
      <c r="G53" s="11" t="s">
        <v>0</v>
      </c>
      <c r="H53" s="11" t="s">
        <v>27</v>
      </c>
      <c r="I53" s="11"/>
      <c r="J53" s="11"/>
      <c r="K53" s="11" t="s">
        <v>86</v>
      </c>
      <c r="L53" s="11"/>
      <c r="M53" s="11"/>
      <c r="N53" s="11"/>
      <c r="O53" s="11"/>
      <c r="P53" s="11" t="s">
        <v>47</v>
      </c>
      <c r="Q53" s="11"/>
      <c r="R53" s="11">
        <f t="shared" si="0"/>
        <v>220</v>
      </c>
      <c r="S53" s="11">
        <v>22</v>
      </c>
      <c r="T53" s="11">
        <v>10</v>
      </c>
    </row>
    <row r="54" spans="1:20" ht="14.25" customHeight="1" x14ac:dyDescent="0.2">
      <c r="A54" s="6"/>
      <c r="B54" s="7"/>
      <c r="C54" s="8"/>
      <c r="D54" s="11"/>
      <c r="E54" s="11"/>
      <c r="F54" s="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>
        <f t="shared" si="0"/>
        <v>640</v>
      </c>
      <c r="S54" s="11">
        <v>40</v>
      </c>
      <c r="T54" s="11">
        <v>16</v>
      </c>
    </row>
    <row r="55" spans="1:20" ht="14.25" customHeight="1" x14ac:dyDescent="0.2">
      <c r="A55" s="6"/>
      <c r="B55" s="7"/>
      <c r="C55" s="8"/>
      <c r="D55" s="11" t="s">
        <v>24</v>
      </c>
      <c r="E55" s="11" t="s">
        <v>69</v>
      </c>
      <c r="F55" s="6"/>
      <c r="G55" s="11" t="s">
        <v>0</v>
      </c>
      <c r="H55" s="11" t="s">
        <v>27</v>
      </c>
      <c r="I55" s="11"/>
      <c r="J55" s="11"/>
      <c r="K55" s="11" t="s">
        <v>87</v>
      </c>
      <c r="L55" s="11"/>
      <c r="M55" s="11"/>
      <c r="N55" s="11"/>
      <c r="O55" s="11"/>
      <c r="P55" s="11" t="s">
        <v>47</v>
      </c>
      <c r="Q55" s="11"/>
      <c r="R55" s="11">
        <f t="shared" si="0"/>
        <v>728</v>
      </c>
      <c r="S55" s="11">
        <v>52</v>
      </c>
      <c r="T55" s="11">
        <v>14</v>
      </c>
    </row>
    <row r="56" spans="1:20" ht="14.25" customHeight="1" x14ac:dyDescent="0.2">
      <c r="A56" s="6"/>
      <c r="B56" s="7"/>
      <c r="C56" s="8"/>
      <c r="D56" s="11" t="s">
        <v>24</v>
      </c>
      <c r="E56" s="11" t="s">
        <v>69</v>
      </c>
      <c r="F56" s="6"/>
      <c r="G56" s="11" t="s">
        <v>0</v>
      </c>
      <c r="H56" s="11" t="s">
        <v>27</v>
      </c>
      <c r="I56" s="11"/>
      <c r="J56" s="11"/>
      <c r="K56" s="11" t="s">
        <v>88</v>
      </c>
      <c r="L56" s="11"/>
      <c r="M56" s="11"/>
      <c r="N56" s="11"/>
      <c r="O56" s="11"/>
      <c r="P56" s="11" t="s">
        <v>53</v>
      </c>
      <c r="Q56" s="11"/>
      <c r="R56" s="11">
        <f t="shared" si="0"/>
        <v>662.5</v>
      </c>
      <c r="S56" s="11">
        <v>53</v>
      </c>
      <c r="T56" s="11">
        <v>12.5</v>
      </c>
    </row>
    <row r="57" spans="1:20" ht="14.25" customHeight="1" x14ac:dyDescent="0.2">
      <c r="A57" s="6"/>
      <c r="B57" s="7"/>
      <c r="C57" s="8"/>
      <c r="D57" s="11"/>
      <c r="E57" s="11"/>
      <c r="F57" s="6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>
        <f t="shared" si="0"/>
        <v>39</v>
      </c>
      <c r="S57" s="11">
        <v>13</v>
      </c>
      <c r="T57" s="11">
        <v>3</v>
      </c>
    </row>
    <row r="58" spans="1:20" ht="14.25" customHeight="1" x14ac:dyDescent="0.2">
      <c r="A58" s="6"/>
      <c r="B58" s="7"/>
      <c r="C58" s="8"/>
      <c r="D58" s="11" t="s">
        <v>24</v>
      </c>
      <c r="E58" s="11" t="s">
        <v>69</v>
      </c>
      <c r="F58" s="6"/>
      <c r="G58" s="11" t="s">
        <v>0</v>
      </c>
      <c r="H58" s="11" t="s">
        <v>27</v>
      </c>
      <c r="I58" s="11"/>
      <c r="J58" s="11"/>
      <c r="K58" s="11" t="s">
        <v>89</v>
      </c>
      <c r="L58" s="11"/>
      <c r="M58" s="11"/>
      <c r="N58" s="11"/>
      <c r="O58" s="11"/>
      <c r="P58" s="11" t="s">
        <v>53</v>
      </c>
      <c r="Q58" s="11"/>
      <c r="R58" s="11">
        <f t="shared" si="0"/>
        <v>400</v>
      </c>
      <c r="S58" s="11">
        <v>32</v>
      </c>
      <c r="T58" s="11">
        <v>12.5</v>
      </c>
    </row>
    <row r="59" spans="1:20" ht="14.25" customHeight="1" x14ac:dyDescent="0.2">
      <c r="A59" s="6"/>
      <c r="B59" s="7"/>
      <c r="C59" s="8"/>
      <c r="D59" s="11" t="s">
        <v>24</v>
      </c>
      <c r="E59" s="11" t="s">
        <v>69</v>
      </c>
      <c r="F59" s="6"/>
      <c r="G59" s="11" t="s">
        <v>0</v>
      </c>
      <c r="H59" s="11" t="s">
        <v>27</v>
      </c>
      <c r="I59" s="11"/>
      <c r="J59" s="11"/>
      <c r="K59" s="11" t="s">
        <v>90</v>
      </c>
      <c r="L59" s="11"/>
      <c r="M59" s="11"/>
      <c r="N59" s="11"/>
      <c r="O59" s="11"/>
      <c r="P59" s="11" t="s">
        <v>53</v>
      </c>
      <c r="Q59" s="11"/>
      <c r="R59" s="11">
        <f t="shared" si="0"/>
        <v>400</v>
      </c>
      <c r="S59" s="11">
        <v>32</v>
      </c>
      <c r="T59" s="11">
        <v>12.5</v>
      </c>
    </row>
    <row r="60" spans="1:20" ht="14.25" customHeight="1" x14ac:dyDescent="0.2">
      <c r="A60" s="6"/>
      <c r="B60" s="7"/>
      <c r="C60" s="8"/>
      <c r="D60" s="11"/>
      <c r="E60" s="11"/>
      <c r="F60" s="6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>
        <f t="shared" si="0"/>
        <v>91</v>
      </c>
      <c r="S60" s="11">
        <v>13</v>
      </c>
      <c r="T60" s="11">
        <v>7</v>
      </c>
    </row>
    <row r="61" spans="1:20" ht="14.25" customHeight="1" x14ac:dyDescent="0.2">
      <c r="A61" s="6"/>
      <c r="B61" s="7"/>
      <c r="C61" s="8"/>
      <c r="D61" s="11" t="s">
        <v>24</v>
      </c>
      <c r="E61" s="11" t="s">
        <v>69</v>
      </c>
      <c r="F61" s="6"/>
      <c r="G61" s="11" t="s">
        <v>0</v>
      </c>
      <c r="H61" s="11" t="s">
        <v>27</v>
      </c>
      <c r="I61" s="11"/>
      <c r="J61" s="11"/>
      <c r="K61" s="11" t="s">
        <v>91</v>
      </c>
      <c r="L61" s="11"/>
      <c r="M61" s="11"/>
      <c r="N61" s="11"/>
      <c r="O61" s="11"/>
      <c r="P61" s="11" t="s">
        <v>53</v>
      </c>
      <c r="Q61" s="11"/>
      <c r="R61" s="11">
        <f t="shared" si="0"/>
        <v>899</v>
      </c>
      <c r="S61" s="11">
        <v>58</v>
      </c>
      <c r="T61" s="11">
        <v>15.5</v>
      </c>
    </row>
    <row r="62" spans="1:20" ht="14.25" customHeight="1" x14ac:dyDescent="0.2">
      <c r="A62" s="6"/>
      <c r="B62" s="7"/>
      <c r="C62" s="8"/>
      <c r="D62" s="11" t="s">
        <v>24</v>
      </c>
      <c r="E62" s="11" t="s">
        <v>69</v>
      </c>
      <c r="F62" s="6"/>
      <c r="G62" s="11" t="s">
        <v>0</v>
      </c>
      <c r="H62" s="11" t="s">
        <v>27</v>
      </c>
      <c r="I62" s="11"/>
      <c r="J62" s="11"/>
      <c r="K62" s="11" t="s">
        <v>92</v>
      </c>
      <c r="L62" s="11"/>
      <c r="M62" s="11"/>
      <c r="N62" s="11"/>
      <c r="O62" s="11"/>
      <c r="P62" s="11" t="s">
        <v>53</v>
      </c>
      <c r="Q62" s="11"/>
      <c r="R62" s="11">
        <f t="shared" si="0"/>
        <v>713</v>
      </c>
      <c r="S62" s="11">
        <v>62</v>
      </c>
      <c r="T62" s="11">
        <v>11.5</v>
      </c>
    </row>
    <row r="63" spans="1:20" ht="14.25" customHeight="1" x14ac:dyDescent="0.2">
      <c r="A63" s="6"/>
      <c r="B63" s="7"/>
      <c r="C63" s="8"/>
      <c r="D63" s="11"/>
      <c r="E63" s="11"/>
      <c r="F63" s="6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>
        <f t="shared" si="0"/>
        <v>60</v>
      </c>
      <c r="S63" s="11">
        <v>15</v>
      </c>
      <c r="T63" s="11">
        <v>4</v>
      </c>
    </row>
    <row r="64" spans="1:20" ht="14.25" customHeight="1" x14ac:dyDescent="0.2">
      <c r="A64" s="6">
        <v>10</v>
      </c>
      <c r="B64" s="7" t="s">
        <v>22</v>
      </c>
      <c r="C64" s="13" t="s">
        <v>93</v>
      </c>
      <c r="D64" s="11" t="s">
        <v>24</v>
      </c>
      <c r="E64" s="11" t="s">
        <v>69</v>
      </c>
      <c r="F64" s="6" t="s">
        <v>94</v>
      </c>
      <c r="G64" s="11" t="s">
        <v>0</v>
      </c>
      <c r="H64" s="11" t="s">
        <v>27</v>
      </c>
      <c r="I64" s="11"/>
      <c r="J64" s="11"/>
      <c r="K64" s="11" t="s">
        <v>95</v>
      </c>
      <c r="L64" s="11"/>
      <c r="M64" s="11"/>
      <c r="N64" s="11"/>
      <c r="O64" s="11"/>
      <c r="P64" s="11" t="s">
        <v>66</v>
      </c>
      <c r="Q64" s="11"/>
      <c r="R64" s="11">
        <f t="shared" si="0"/>
        <v>535.5</v>
      </c>
      <c r="S64" s="11">
        <v>63</v>
      </c>
      <c r="T64" s="11">
        <v>8.5</v>
      </c>
    </row>
    <row r="65" spans="1:20" ht="14.25" customHeight="1" x14ac:dyDescent="0.2">
      <c r="A65" s="6"/>
      <c r="B65" s="7"/>
      <c r="C65" s="13"/>
      <c r="D65" s="11" t="s">
        <v>24</v>
      </c>
      <c r="E65" s="11" t="s">
        <v>69</v>
      </c>
      <c r="F65" s="6"/>
      <c r="G65" s="11" t="s">
        <v>0</v>
      </c>
      <c r="H65" s="11" t="s">
        <v>27</v>
      </c>
      <c r="I65" s="11"/>
      <c r="J65" s="11"/>
      <c r="K65" s="11" t="s">
        <v>96</v>
      </c>
      <c r="L65" s="11"/>
      <c r="M65" s="11"/>
      <c r="N65" s="11"/>
      <c r="O65" s="11"/>
      <c r="P65" s="11" t="s">
        <v>66</v>
      </c>
      <c r="Q65" s="11"/>
      <c r="R65" s="11">
        <f t="shared" si="0"/>
        <v>595</v>
      </c>
      <c r="S65" s="11">
        <v>70</v>
      </c>
      <c r="T65" s="11">
        <v>8.5</v>
      </c>
    </row>
    <row r="66" spans="1:20" ht="14.25" customHeight="1" x14ac:dyDescent="0.2">
      <c r="A66" s="6"/>
      <c r="B66" s="7"/>
      <c r="C66" s="13"/>
      <c r="D66" s="11" t="s">
        <v>24</v>
      </c>
      <c r="E66" s="11" t="s">
        <v>69</v>
      </c>
      <c r="F66" s="6"/>
      <c r="G66" s="11" t="s">
        <v>0</v>
      </c>
      <c r="H66" s="11" t="s">
        <v>27</v>
      </c>
      <c r="I66" s="11"/>
      <c r="J66" s="11"/>
      <c r="K66" s="11" t="s">
        <v>97</v>
      </c>
      <c r="L66" s="11"/>
      <c r="M66" s="11"/>
      <c r="N66" s="11"/>
      <c r="O66" s="11"/>
      <c r="P66" s="11" t="s">
        <v>66</v>
      </c>
      <c r="Q66" s="11"/>
      <c r="R66" s="11">
        <f t="shared" si="0"/>
        <v>540</v>
      </c>
      <c r="S66" s="11">
        <v>60</v>
      </c>
      <c r="T66" s="11">
        <v>9</v>
      </c>
    </row>
    <row r="67" spans="1:20" ht="14.25" customHeight="1" x14ac:dyDescent="0.2">
      <c r="A67" s="6"/>
      <c r="B67" s="7"/>
      <c r="C67" s="13"/>
      <c r="D67" s="11" t="s">
        <v>24</v>
      </c>
      <c r="E67" s="11" t="s">
        <v>69</v>
      </c>
      <c r="F67" s="6"/>
      <c r="G67" s="11" t="s">
        <v>0</v>
      </c>
      <c r="H67" s="11" t="s">
        <v>27</v>
      </c>
      <c r="I67" s="11"/>
      <c r="J67" s="11"/>
      <c r="K67" s="11" t="s">
        <v>98</v>
      </c>
      <c r="L67" s="11"/>
      <c r="M67" s="11"/>
      <c r="N67" s="11"/>
      <c r="O67" s="11"/>
      <c r="P67" s="11" t="s">
        <v>66</v>
      </c>
      <c r="Q67" s="11"/>
      <c r="R67" s="11">
        <f t="shared" ref="R67:R130" si="1">S67*T67</f>
        <v>700</v>
      </c>
      <c r="S67" s="11">
        <v>70</v>
      </c>
      <c r="T67" s="11">
        <v>10</v>
      </c>
    </row>
    <row r="68" spans="1:20" ht="14.25" customHeight="1" x14ac:dyDescent="0.2">
      <c r="A68" s="6"/>
      <c r="B68" s="7"/>
      <c r="C68" s="13"/>
      <c r="D68" s="11" t="s">
        <v>24</v>
      </c>
      <c r="E68" s="11" t="s">
        <v>69</v>
      </c>
      <c r="F68" s="6"/>
      <c r="G68" s="11" t="s">
        <v>0</v>
      </c>
      <c r="H68" s="11" t="s">
        <v>27</v>
      </c>
      <c r="I68" s="11"/>
      <c r="J68" s="11"/>
      <c r="K68" s="11" t="s">
        <v>99</v>
      </c>
      <c r="L68" s="11"/>
      <c r="M68" s="11"/>
      <c r="N68" s="11"/>
      <c r="O68" s="11"/>
      <c r="P68" s="11" t="s">
        <v>100</v>
      </c>
      <c r="Q68" s="11"/>
      <c r="R68" s="11">
        <f t="shared" si="1"/>
        <v>672</v>
      </c>
      <c r="S68" s="11">
        <v>48</v>
      </c>
      <c r="T68" s="11">
        <v>14</v>
      </c>
    </row>
    <row r="69" spans="1:20" ht="14.25" customHeight="1" x14ac:dyDescent="0.2">
      <c r="A69" s="6">
        <v>11</v>
      </c>
      <c r="B69" s="7" t="s">
        <v>22</v>
      </c>
      <c r="C69" s="13" t="s">
        <v>101</v>
      </c>
      <c r="D69" s="11" t="s">
        <v>24</v>
      </c>
      <c r="E69" s="11" t="s">
        <v>69</v>
      </c>
      <c r="F69" s="14" t="s">
        <v>102</v>
      </c>
      <c r="G69" s="11" t="s">
        <v>0</v>
      </c>
      <c r="H69" s="11" t="s">
        <v>27</v>
      </c>
      <c r="I69" s="11"/>
      <c r="J69" s="11"/>
      <c r="K69" s="11" t="s">
        <v>103</v>
      </c>
      <c r="L69" s="11"/>
      <c r="M69" s="11"/>
      <c r="N69" s="11"/>
      <c r="O69" s="11"/>
      <c r="P69" s="11" t="s">
        <v>100</v>
      </c>
      <c r="Q69" s="11"/>
      <c r="R69" s="11">
        <f t="shared" si="1"/>
        <v>380</v>
      </c>
      <c r="S69" s="11">
        <v>40</v>
      </c>
      <c r="T69" s="11">
        <v>9.5</v>
      </c>
    </row>
    <row r="70" spans="1:20" ht="14.25" customHeight="1" x14ac:dyDescent="0.2">
      <c r="A70" s="6"/>
      <c r="B70" s="7"/>
      <c r="C70" s="13"/>
      <c r="D70" s="11" t="s">
        <v>24</v>
      </c>
      <c r="E70" s="11" t="s">
        <v>69</v>
      </c>
      <c r="F70" s="14"/>
      <c r="G70" s="11" t="s">
        <v>0</v>
      </c>
      <c r="H70" s="11" t="s">
        <v>27</v>
      </c>
      <c r="I70" s="11"/>
      <c r="J70" s="11"/>
      <c r="K70" s="11" t="s">
        <v>104</v>
      </c>
      <c r="L70" s="11"/>
      <c r="M70" s="11"/>
      <c r="N70" s="11"/>
      <c r="O70" s="11"/>
      <c r="P70" s="11"/>
      <c r="Q70" s="11"/>
      <c r="R70" s="11">
        <f t="shared" si="1"/>
        <v>1280</v>
      </c>
      <c r="S70" s="11">
        <v>128</v>
      </c>
      <c r="T70" s="11">
        <v>10</v>
      </c>
    </row>
    <row r="71" spans="1:20" ht="14.25" customHeight="1" x14ac:dyDescent="0.2">
      <c r="A71" s="6"/>
      <c r="B71" s="7"/>
      <c r="C71" s="13"/>
      <c r="D71" s="11" t="s">
        <v>24</v>
      </c>
      <c r="E71" s="11" t="s">
        <v>69</v>
      </c>
      <c r="F71" s="14"/>
      <c r="G71" s="11" t="s">
        <v>0</v>
      </c>
      <c r="H71" s="11" t="s">
        <v>27</v>
      </c>
      <c r="I71" s="11"/>
      <c r="J71" s="11"/>
      <c r="K71" s="11" t="s">
        <v>105</v>
      </c>
      <c r="L71" s="11"/>
      <c r="M71" s="11"/>
      <c r="N71" s="11"/>
      <c r="O71" s="11"/>
      <c r="P71" s="11"/>
      <c r="Q71" s="11"/>
      <c r="R71" s="11">
        <f t="shared" si="1"/>
        <v>570</v>
      </c>
      <c r="S71" s="11">
        <v>60</v>
      </c>
      <c r="T71" s="11">
        <v>9.5</v>
      </c>
    </row>
    <row r="72" spans="1:20" ht="14.25" customHeight="1" x14ac:dyDescent="0.2">
      <c r="A72" s="6"/>
      <c r="B72" s="7"/>
      <c r="C72" s="13"/>
      <c r="D72" s="11" t="s">
        <v>24</v>
      </c>
      <c r="E72" s="11" t="s">
        <v>69</v>
      </c>
      <c r="F72" s="14"/>
      <c r="G72" s="11" t="s">
        <v>0</v>
      </c>
      <c r="H72" s="11" t="s">
        <v>27</v>
      </c>
      <c r="I72" s="11"/>
      <c r="J72" s="11"/>
      <c r="K72" s="11" t="s">
        <v>106</v>
      </c>
      <c r="L72" s="11"/>
      <c r="M72" s="11"/>
      <c r="N72" s="11"/>
      <c r="O72" s="11"/>
      <c r="P72" s="11"/>
      <c r="Q72" s="11"/>
      <c r="R72" s="11">
        <f t="shared" si="1"/>
        <v>400</v>
      </c>
      <c r="S72" s="11">
        <v>40</v>
      </c>
      <c r="T72" s="11">
        <v>10</v>
      </c>
    </row>
    <row r="73" spans="1:20" ht="14.25" customHeight="1" x14ac:dyDescent="0.2">
      <c r="A73" s="6"/>
      <c r="B73" s="7"/>
      <c r="C73" s="13"/>
      <c r="D73" s="11" t="s">
        <v>24</v>
      </c>
      <c r="E73" s="11" t="s">
        <v>69</v>
      </c>
      <c r="F73" s="14"/>
      <c r="G73" s="11" t="s">
        <v>0</v>
      </c>
      <c r="H73" s="11" t="s">
        <v>27</v>
      </c>
      <c r="I73" s="11"/>
      <c r="J73" s="11"/>
      <c r="K73" s="11" t="s">
        <v>107</v>
      </c>
      <c r="L73" s="11"/>
      <c r="M73" s="11"/>
      <c r="N73" s="11"/>
      <c r="O73" s="11"/>
      <c r="P73" s="11"/>
      <c r="Q73" s="11"/>
      <c r="R73" s="11">
        <f t="shared" si="1"/>
        <v>450</v>
      </c>
      <c r="S73" s="11">
        <v>45</v>
      </c>
      <c r="T73" s="11">
        <v>10</v>
      </c>
    </row>
    <row r="74" spans="1:20" ht="14.25" customHeight="1" x14ac:dyDescent="0.2">
      <c r="A74" s="6"/>
      <c r="B74" s="7"/>
      <c r="C74" s="13"/>
      <c r="D74" s="11"/>
      <c r="E74" s="11"/>
      <c r="F74" s="14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>
        <f t="shared" si="1"/>
        <v>200</v>
      </c>
      <c r="S74" s="11">
        <v>40</v>
      </c>
      <c r="T74" s="11">
        <v>5</v>
      </c>
    </row>
    <row r="75" spans="1:20" ht="14.25" customHeight="1" x14ac:dyDescent="0.2">
      <c r="A75" s="6"/>
      <c r="B75" s="7"/>
      <c r="C75" s="13"/>
      <c r="D75" s="11" t="s">
        <v>24</v>
      </c>
      <c r="E75" s="11" t="s">
        <v>69</v>
      </c>
      <c r="F75" s="14"/>
      <c r="G75" s="11" t="s">
        <v>0</v>
      </c>
      <c r="H75" s="11" t="s">
        <v>27</v>
      </c>
      <c r="I75" s="11"/>
      <c r="J75" s="11"/>
      <c r="K75" s="11" t="s">
        <v>108</v>
      </c>
      <c r="L75" s="11"/>
      <c r="M75" s="11"/>
      <c r="N75" s="11"/>
      <c r="O75" s="11"/>
      <c r="P75" s="11" t="s">
        <v>100</v>
      </c>
      <c r="Q75" s="11"/>
      <c r="R75" s="11">
        <f t="shared" si="1"/>
        <v>1140</v>
      </c>
      <c r="S75" s="11">
        <v>60</v>
      </c>
      <c r="T75" s="11">
        <v>19</v>
      </c>
    </row>
    <row r="76" spans="1:20" ht="14.25" customHeight="1" x14ac:dyDescent="0.2">
      <c r="A76" s="6">
        <v>12</v>
      </c>
      <c r="B76" s="7" t="s">
        <v>22</v>
      </c>
      <c r="C76" s="13" t="s">
        <v>109</v>
      </c>
      <c r="D76" s="11" t="s">
        <v>24</v>
      </c>
      <c r="E76" s="11" t="s">
        <v>110</v>
      </c>
      <c r="F76" s="14" t="s">
        <v>111</v>
      </c>
      <c r="G76" s="11" t="s">
        <v>0</v>
      </c>
      <c r="H76" s="11" t="s">
        <v>27</v>
      </c>
      <c r="I76" s="11">
        <v>28.586940999999999</v>
      </c>
      <c r="J76" s="11">
        <v>76.267988000000003</v>
      </c>
      <c r="K76" s="11" t="s">
        <v>112</v>
      </c>
      <c r="L76" s="11"/>
      <c r="M76" s="11"/>
      <c r="N76" s="11"/>
      <c r="O76" s="11"/>
      <c r="P76" s="11" t="s">
        <v>113</v>
      </c>
      <c r="Q76" s="11"/>
      <c r="R76" s="11">
        <f t="shared" si="1"/>
        <v>1575</v>
      </c>
      <c r="S76" s="11">
        <v>105</v>
      </c>
      <c r="T76" s="11">
        <v>15</v>
      </c>
    </row>
    <row r="77" spans="1:20" ht="14.25" customHeight="1" x14ac:dyDescent="0.2">
      <c r="A77" s="6"/>
      <c r="B77" s="7"/>
      <c r="C77" s="13"/>
      <c r="D77" s="11" t="s">
        <v>24</v>
      </c>
      <c r="E77" s="11" t="s">
        <v>110</v>
      </c>
      <c r="F77" s="14"/>
      <c r="G77" s="11" t="s">
        <v>0</v>
      </c>
      <c r="H77" s="11" t="s">
        <v>27</v>
      </c>
      <c r="I77" s="11">
        <v>28.586669000000001</v>
      </c>
      <c r="J77" s="11">
        <v>76.268139000000005</v>
      </c>
      <c r="K77" s="11" t="s">
        <v>114</v>
      </c>
      <c r="L77" s="11"/>
      <c r="M77" s="11"/>
      <c r="N77" s="11"/>
      <c r="O77" s="11"/>
      <c r="P77" s="11" t="s">
        <v>115</v>
      </c>
      <c r="Q77" s="11"/>
      <c r="R77" s="11">
        <f t="shared" si="1"/>
        <v>1764</v>
      </c>
      <c r="S77" s="11">
        <v>126</v>
      </c>
      <c r="T77" s="11">
        <v>14</v>
      </c>
    </row>
    <row r="78" spans="1:20" ht="14.25" customHeight="1" x14ac:dyDescent="0.2">
      <c r="A78" s="6"/>
      <c r="B78" s="7"/>
      <c r="C78" s="13"/>
      <c r="D78" s="11"/>
      <c r="E78" s="11"/>
      <c r="F78" s="14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>
        <f t="shared" si="1"/>
        <v>150</v>
      </c>
      <c r="S78" s="11">
        <v>15</v>
      </c>
      <c r="T78" s="11">
        <v>10</v>
      </c>
    </row>
    <row r="79" spans="1:20" ht="14.25" customHeight="1" x14ac:dyDescent="0.2">
      <c r="A79" s="6"/>
      <c r="B79" s="7"/>
      <c r="C79" s="13"/>
      <c r="D79" s="11" t="s">
        <v>24</v>
      </c>
      <c r="E79" s="11" t="s">
        <v>110</v>
      </c>
      <c r="F79" s="14"/>
      <c r="G79" s="11" t="s">
        <v>0</v>
      </c>
      <c r="H79" s="11" t="s">
        <v>27</v>
      </c>
      <c r="I79" s="11">
        <v>28.586455999999998</v>
      </c>
      <c r="J79" s="11">
        <v>76.268394999999998</v>
      </c>
      <c r="K79" s="11" t="s">
        <v>116</v>
      </c>
      <c r="L79" s="11"/>
      <c r="M79" s="11"/>
      <c r="N79" s="11"/>
      <c r="O79" s="11"/>
      <c r="P79" s="11" t="s">
        <v>115</v>
      </c>
      <c r="Q79" s="11"/>
      <c r="R79" s="11">
        <f t="shared" si="1"/>
        <v>1232</v>
      </c>
      <c r="S79" s="11">
        <v>88</v>
      </c>
      <c r="T79" s="11">
        <v>14</v>
      </c>
    </row>
    <row r="80" spans="1:20" ht="14.25" customHeight="1" x14ac:dyDescent="0.2">
      <c r="A80" s="6">
        <v>13</v>
      </c>
      <c r="B80" s="7" t="s">
        <v>22</v>
      </c>
      <c r="C80" s="13" t="s">
        <v>117</v>
      </c>
      <c r="D80" s="11" t="s">
        <v>118</v>
      </c>
      <c r="E80" s="11" t="s">
        <v>119</v>
      </c>
      <c r="F80" s="6" t="s">
        <v>120</v>
      </c>
      <c r="G80" s="11" t="s">
        <v>0</v>
      </c>
      <c r="H80" s="11" t="s">
        <v>27</v>
      </c>
      <c r="I80" s="11">
        <v>28.67587</v>
      </c>
      <c r="J80" s="11">
        <v>76.174818000000002</v>
      </c>
      <c r="K80" s="11" t="s">
        <v>121</v>
      </c>
      <c r="L80" s="11"/>
      <c r="M80" s="11"/>
      <c r="N80" s="11"/>
      <c r="O80" s="11"/>
      <c r="P80" s="11" t="s">
        <v>115</v>
      </c>
      <c r="Q80" s="11"/>
      <c r="R80" s="11">
        <f t="shared" si="1"/>
        <v>1501.5</v>
      </c>
      <c r="S80" s="11">
        <v>91</v>
      </c>
      <c r="T80" s="11">
        <v>16.5</v>
      </c>
    </row>
    <row r="81" spans="1:20" ht="14.25" customHeight="1" x14ac:dyDescent="0.2">
      <c r="A81" s="6"/>
      <c r="B81" s="7"/>
      <c r="C81" s="13"/>
      <c r="D81" s="11" t="s">
        <v>118</v>
      </c>
      <c r="E81" s="11" t="s">
        <v>119</v>
      </c>
      <c r="F81" s="6"/>
      <c r="G81" s="11" t="s">
        <v>0</v>
      </c>
      <c r="H81" s="11" t="s">
        <v>27</v>
      </c>
      <c r="I81" s="11">
        <v>28.675839</v>
      </c>
      <c r="J81" s="11">
        <v>76.174819999999997</v>
      </c>
      <c r="K81" s="11" t="s">
        <v>122</v>
      </c>
      <c r="L81" s="11"/>
      <c r="M81" s="11"/>
      <c r="N81" s="11"/>
      <c r="O81" s="11"/>
      <c r="P81" s="11" t="s">
        <v>123</v>
      </c>
      <c r="Q81" s="11"/>
      <c r="R81" s="11">
        <f t="shared" si="1"/>
        <v>280</v>
      </c>
      <c r="S81" s="11">
        <v>20</v>
      </c>
      <c r="T81" s="11">
        <v>14</v>
      </c>
    </row>
    <row r="82" spans="1:20" ht="14.25" customHeight="1" x14ac:dyDescent="0.2">
      <c r="A82" s="6"/>
      <c r="B82" s="7"/>
      <c r="C82" s="13"/>
      <c r="D82" s="11" t="s">
        <v>118</v>
      </c>
      <c r="E82" s="11" t="s">
        <v>119</v>
      </c>
      <c r="F82" s="6"/>
      <c r="G82" s="11" t="s">
        <v>0</v>
      </c>
      <c r="H82" s="11" t="s">
        <v>27</v>
      </c>
      <c r="I82" s="11">
        <v>28.675937999999999</v>
      </c>
      <c r="J82" s="11">
        <v>76.175040999999993</v>
      </c>
      <c r="K82" s="11" t="s">
        <v>124</v>
      </c>
      <c r="L82" s="11"/>
      <c r="M82" s="11"/>
      <c r="N82" s="11"/>
      <c r="O82" s="11"/>
      <c r="P82" s="11" t="s">
        <v>123</v>
      </c>
      <c r="Q82" s="11"/>
      <c r="R82" s="11">
        <f t="shared" si="1"/>
        <v>800</v>
      </c>
      <c r="S82" s="11">
        <v>50</v>
      </c>
      <c r="T82" s="11">
        <v>16</v>
      </c>
    </row>
    <row r="83" spans="1:20" ht="14.25" customHeight="1" x14ac:dyDescent="0.2">
      <c r="A83" s="6"/>
      <c r="B83" s="7"/>
      <c r="C83" s="13"/>
      <c r="D83" s="11"/>
      <c r="E83" s="11"/>
      <c r="F83" s="6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>
        <f t="shared" si="1"/>
        <v>15</v>
      </c>
      <c r="S83" s="11">
        <v>2.5</v>
      </c>
      <c r="T83" s="11">
        <v>6</v>
      </c>
    </row>
    <row r="84" spans="1:20" ht="14.25" customHeight="1" x14ac:dyDescent="0.2">
      <c r="A84" s="6"/>
      <c r="B84" s="7"/>
      <c r="C84" s="13"/>
      <c r="D84" s="11" t="s">
        <v>118</v>
      </c>
      <c r="E84" s="11" t="s">
        <v>119</v>
      </c>
      <c r="F84" s="6"/>
      <c r="G84" s="11" t="s">
        <v>0</v>
      </c>
      <c r="H84" s="11" t="s">
        <v>27</v>
      </c>
      <c r="I84" s="11">
        <v>28.675367999999999</v>
      </c>
      <c r="J84" s="11">
        <v>76.175310999999994</v>
      </c>
      <c r="K84" s="11" t="s">
        <v>125</v>
      </c>
      <c r="L84" s="11"/>
      <c r="M84" s="11"/>
      <c r="N84" s="11"/>
      <c r="O84" s="11"/>
      <c r="P84" s="11" t="s">
        <v>123</v>
      </c>
      <c r="Q84" s="11"/>
      <c r="R84" s="11">
        <f t="shared" si="1"/>
        <v>120</v>
      </c>
      <c r="S84" s="11">
        <v>12</v>
      </c>
      <c r="T84" s="11">
        <v>10</v>
      </c>
    </row>
    <row r="85" spans="1:20" ht="14.25" customHeight="1" x14ac:dyDescent="0.2">
      <c r="A85" s="6"/>
      <c r="B85" s="7"/>
      <c r="C85" s="13"/>
      <c r="D85" s="11" t="s">
        <v>118</v>
      </c>
      <c r="E85" s="11" t="s">
        <v>119</v>
      </c>
      <c r="F85" s="6"/>
      <c r="G85" s="11" t="s">
        <v>0</v>
      </c>
      <c r="H85" s="11" t="s">
        <v>27</v>
      </c>
      <c r="I85" s="11">
        <v>28.675204000000001</v>
      </c>
      <c r="J85" s="11">
        <v>76.175550999999999</v>
      </c>
      <c r="K85" s="11" t="s">
        <v>126</v>
      </c>
      <c r="L85" s="11"/>
      <c r="M85" s="11"/>
      <c r="N85" s="11"/>
      <c r="O85" s="11"/>
      <c r="P85" s="11" t="s">
        <v>123</v>
      </c>
      <c r="Q85" s="11"/>
      <c r="R85" s="11">
        <f t="shared" si="1"/>
        <v>375</v>
      </c>
      <c r="S85" s="11">
        <v>30</v>
      </c>
      <c r="T85" s="11">
        <v>12.5</v>
      </c>
    </row>
    <row r="86" spans="1:20" ht="14.25" customHeight="1" x14ac:dyDescent="0.2">
      <c r="A86" s="6"/>
      <c r="B86" s="7"/>
      <c r="C86" s="13"/>
      <c r="D86" s="11"/>
      <c r="E86" s="11"/>
      <c r="F86" s="6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>
        <f t="shared" si="1"/>
        <v>40</v>
      </c>
      <c r="S86" s="11">
        <v>10</v>
      </c>
      <c r="T86" s="11">
        <v>4</v>
      </c>
    </row>
    <row r="87" spans="1:20" ht="14.25" customHeight="1" x14ac:dyDescent="0.2">
      <c r="A87" s="6"/>
      <c r="B87" s="7"/>
      <c r="C87" s="13"/>
      <c r="D87" s="11" t="s">
        <v>118</v>
      </c>
      <c r="E87" s="11" t="s">
        <v>119</v>
      </c>
      <c r="F87" s="6"/>
      <c r="G87" s="11" t="s">
        <v>0</v>
      </c>
      <c r="H87" s="11" t="s">
        <v>27</v>
      </c>
      <c r="I87" s="11">
        <v>28.675015999999999</v>
      </c>
      <c r="J87" s="11">
        <v>76.175764999999998</v>
      </c>
      <c r="K87" s="11" t="s">
        <v>127</v>
      </c>
      <c r="L87" s="11"/>
      <c r="M87" s="11"/>
      <c r="N87" s="11"/>
      <c r="O87" s="11"/>
      <c r="P87" s="11" t="s">
        <v>123</v>
      </c>
      <c r="Q87" s="11"/>
      <c r="R87" s="11">
        <f t="shared" si="1"/>
        <v>1080</v>
      </c>
      <c r="S87" s="11">
        <v>60</v>
      </c>
      <c r="T87" s="11">
        <v>18</v>
      </c>
    </row>
    <row r="88" spans="1:20" ht="14.25" customHeight="1" x14ac:dyDescent="0.2">
      <c r="A88" s="6"/>
      <c r="B88" s="7"/>
      <c r="C88" s="13"/>
      <c r="D88" s="11"/>
      <c r="E88" s="11"/>
      <c r="F88" s="6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>
        <f t="shared" si="1"/>
        <v>21</v>
      </c>
      <c r="S88" s="11">
        <v>3</v>
      </c>
      <c r="T88" s="11">
        <v>7</v>
      </c>
    </row>
    <row r="89" spans="1:20" ht="14.25" customHeight="1" x14ac:dyDescent="0.2">
      <c r="A89" s="6">
        <v>14</v>
      </c>
      <c r="B89" s="7" t="s">
        <v>22</v>
      </c>
      <c r="C89" s="13" t="s">
        <v>128</v>
      </c>
      <c r="D89" s="11" t="s">
        <v>118</v>
      </c>
      <c r="E89" s="11" t="s">
        <v>119</v>
      </c>
      <c r="F89" s="6" t="s">
        <v>129</v>
      </c>
      <c r="G89" s="11" t="s">
        <v>0</v>
      </c>
      <c r="H89" s="11" t="s">
        <v>27</v>
      </c>
      <c r="I89" s="11">
        <v>28.756312000000001</v>
      </c>
      <c r="J89" s="11">
        <v>76.147731399999998</v>
      </c>
      <c r="K89" s="11" t="s">
        <v>130</v>
      </c>
      <c r="L89" s="11"/>
      <c r="M89" s="11"/>
      <c r="N89" s="11"/>
      <c r="O89" s="11"/>
      <c r="P89" s="11" t="s">
        <v>131</v>
      </c>
      <c r="Q89" s="11"/>
      <c r="R89" s="11">
        <f t="shared" si="1"/>
        <v>1207</v>
      </c>
      <c r="S89" s="11">
        <v>71</v>
      </c>
      <c r="T89" s="11">
        <v>17</v>
      </c>
    </row>
    <row r="90" spans="1:20" ht="14.25" customHeight="1" x14ac:dyDescent="0.2">
      <c r="A90" s="6"/>
      <c r="B90" s="7"/>
      <c r="C90" s="13"/>
      <c r="D90" s="11" t="s">
        <v>118</v>
      </c>
      <c r="E90" s="11" t="s">
        <v>119</v>
      </c>
      <c r="F90" s="6"/>
      <c r="G90" s="11" t="s">
        <v>0</v>
      </c>
      <c r="H90" s="11" t="s">
        <v>27</v>
      </c>
      <c r="I90" s="11">
        <v>28.757375</v>
      </c>
      <c r="J90" s="11">
        <v>76.148054000000002</v>
      </c>
      <c r="K90" s="11" t="s">
        <v>132</v>
      </c>
      <c r="L90" s="11"/>
      <c r="M90" s="11"/>
      <c r="N90" s="11"/>
      <c r="O90" s="11"/>
      <c r="P90" s="11" t="s">
        <v>131</v>
      </c>
      <c r="Q90" s="11"/>
      <c r="R90" s="11">
        <f t="shared" si="1"/>
        <v>511.5</v>
      </c>
      <c r="S90" s="11">
        <v>31</v>
      </c>
      <c r="T90" s="11">
        <v>16.5</v>
      </c>
    </row>
    <row r="91" spans="1:20" ht="14.25" customHeight="1" x14ac:dyDescent="0.2">
      <c r="A91" s="6"/>
      <c r="B91" s="7"/>
      <c r="C91" s="13"/>
      <c r="D91" s="11"/>
      <c r="E91" s="11"/>
      <c r="F91" s="6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>
        <f t="shared" si="1"/>
        <v>154</v>
      </c>
      <c r="S91" s="11">
        <v>22</v>
      </c>
      <c r="T91" s="11">
        <v>7</v>
      </c>
    </row>
    <row r="92" spans="1:20" ht="14.25" customHeight="1" x14ac:dyDescent="0.2">
      <c r="A92" s="6"/>
      <c r="B92" s="7"/>
      <c r="C92" s="13"/>
      <c r="D92" s="11" t="s">
        <v>118</v>
      </c>
      <c r="E92" s="11" t="s">
        <v>119</v>
      </c>
      <c r="F92" s="6"/>
      <c r="G92" s="11" t="s">
        <v>0</v>
      </c>
      <c r="H92" s="11" t="s">
        <v>27</v>
      </c>
      <c r="I92" s="11">
        <v>28.774961999999999</v>
      </c>
      <c r="J92" s="11">
        <v>76.150464999999997</v>
      </c>
      <c r="K92" s="11" t="s">
        <v>133</v>
      </c>
      <c r="L92" s="11"/>
      <c r="M92" s="11"/>
      <c r="N92" s="11"/>
      <c r="O92" s="11"/>
      <c r="P92" s="11" t="s">
        <v>134</v>
      </c>
      <c r="Q92" s="11"/>
      <c r="R92" s="11">
        <f t="shared" si="1"/>
        <v>1360</v>
      </c>
      <c r="S92" s="11">
        <v>80</v>
      </c>
      <c r="T92" s="11">
        <v>17</v>
      </c>
    </row>
    <row r="93" spans="1:20" ht="14.25" customHeight="1" x14ac:dyDescent="0.2">
      <c r="A93" s="6"/>
      <c r="B93" s="7"/>
      <c r="C93" s="13"/>
      <c r="D93" s="11" t="s">
        <v>118</v>
      </c>
      <c r="E93" s="11" t="s">
        <v>119</v>
      </c>
      <c r="F93" s="6"/>
      <c r="G93" s="11" t="s">
        <v>0</v>
      </c>
      <c r="H93" s="11" t="s">
        <v>27</v>
      </c>
      <c r="I93" s="11">
        <v>28.780856</v>
      </c>
      <c r="J93" s="11">
        <v>76.160702999999998</v>
      </c>
      <c r="K93" s="11" t="s">
        <v>135</v>
      </c>
      <c r="L93" s="11"/>
      <c r="M93" s="11"/>
      <c r="N93" s="11"/>
      <c r="O93" s="11"/>
      <c r="P93" s="11" t="s">
        <v>134</v>
      </c>
      <c r="Q93" s="11"/>
      <c r="R93" s="11">
        <f t="shared" si="1"/>
        <v>1020</v>
      </c>
      <c r="S93" s="11">
        <v>68</v>
      </c>
      <c r="T93" s="11">
        <v>15</v>
      </c>
    </row>
    <row r="94" spans="1:20" ht="14.25" customHeight="1" x14ac:dyDescent="0.2">
      <c r="A94" s="6">
        <v>15</v>
      </c>
      <c r="B94" s="7" t="s">
        <v>22</v>
      </c>
      <c r="C94" s="13" t="s">
        <v>136</v>
      </c>
      <c r="D94" s="11" t="s">
        <v>137</v>
      </c>
      <c r="E94" s="11" t="s">
        <v>138</v>
      </c>
      <c r="F94" s="6" t="s">
        <v>139</v>
      </c>
      <c r="G94" s="11" t="s">
        <v>0</v>
      </c>
      <c r="H94" s="11" t="s">
        <v>27</v>
      </c>
      <c r="I94" s="11">
        <v>29.104268999999999</v>
      </c>
      <c r="J94" s="11">
        <v>75.977974000000003</v>
      </c>
      <c r="K94" s="11" t="s">
        <v>140</v>
      </c>
      <c r="L94" s="11"/>
      <c r="M94" s="11"/>
      <c r="N94" s="11"/>
      <c r="O94" s="11"/>
      <c r="P94" s="11" t="s">
        <v>141</v>
      </c>
      <c r="Q94" s="11"/>
      <c r="R94" s="11">
        <f t="shared" si="1"/>
        <v>1785</v>
      </c>
      <c r="S94" s="11">
        <v>85</v>
      </c>
      <c r="T94" s="11">
        <v>21</v>
      </c>
    </row>
    <row r="95" spans="1:20" ht="14.25" customHeight="1" x14ac:dyDescent="0.2">
      <c r="A95" s="6"/>
      <c r="B95" s="7"/>
      <c r="C95" s="13"/>
      <c r="D95" s="11"/>
      <c r="E95" s="11"/>
      <c r="F95" s="6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>
        <f t="shared" si="1"/>
        <v>72</v>
      </c>
      <c r="S95" s="11">
        <v>9</v>
      </c>
      <c r="T95" s="11">
        <v>8</v>
      </c>
    </row>
    <row r="96" spans="1:20" ht="14.25" customHeight="1" x14ac:dyDescent="0.2">
      <c r="A96" s="6"/>
      <c r="B96" s="7"/>
      <c r="C96" s="13"/>
      <c r="D96" s="11" t="s">
        <v>137</v>
      </c>
      <c r="E96" s="11" t="s">
        <v>138</v>
      </c>
      <c r="F96" s="6"/>
      <c r="G96" s="11" t="s">
        <v>0</v>
      </c>
      <c r="H96" s="11" t="s">
        <v>27</v>
      </c>
      <c r="I96" s="11">
        <v>29.104043000000001</v>
      </c>
      <c r="J96" s="11">
        <v>75.978319999999997</v>
      </c>
      <c r="K96" s="11" t="s">
        <v>142</v>
      </c>
      <c r="L96" s="11"/>
      <c r="M96" s="11"/>
      <c r="N96" s="11"/>
      <c r="O96" s="11"/>
      <c r="P96" s="11" t="s">
        <v>141</v>
      </c>
      <c r="Q96" s="11"/>
      <c r="R96" s="11">
        <f t="shared" si="1"/>
        <v>1785</v>
      </c>
      <c r="S96" s="11">
        <v>85</v>
      </c>
      <c r="T96" s="11">
        <v>21</v>
      </c>
    </row>
    <row r="97" spans="1:20" ht="14.25" customHeight="1" x14ac:dyDescent="0.2">
      <c r="A97" s="6"/>
      <c r="B97" s="7"/>
      <c r="C97" s="13"/>
      <c r="D97" s="11"/>
      <c r="E97" s="11"/>
      <c r="F97" s="6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>
        <f t="shared" si="1"/>
        <v>72</v>
      </c>
      <c r="S97" s="11">
        <v>12</v>
      </c>
      <c r="T97" s="11">
        <v>6</v>
      </c>
    </row>
    <row r="98" spans="1:20" ht="14.25" customHeight="1" x14ac:dyDescent="0.2">
      <c r="A98" s="6"/>
      <c r="B98" s="7"/>
      <c r="C98" s="13"/>
      <c r="D98" s="11"/>
      <c r="E98" s="11"/>
      <c r="F98" s="6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>
        <f t="shared" si="1"/>
        <v>72</v>
      </c>
      <c r="S98" s="11">
        <v>9</v>
      </c>
      <c r="T98" s="11">
        <v>8</v>
      </c>
    </row>
    <row r="99" spans="1:20" ht="14.25" customHeight="1" x14ac:dyDescent="0.2">
      <c r="A99" s="6">
        <v>16</v>
      </c>
      <c r="B99" s="7" t="s">
        <v>22</v>
      </c>
      <c r="C99" s="13" t="s">
        <v>79</v>
      </c>
      <c r="D99" s="11" t="s">
        <v>137</v>
      </c>
      <c r="E99" s="11" t="s">
        <v>143</v>
      </c>
      <c r="F99" s="6" t="s">
        <v>144</v>
      </c>
      <c r="G99" s="11" t="s">
        <v>0</v>
      </c>
      <c r="H99" s="11" t="s">
        <v>27</v>
      </c>
      <c r="I99" s="11">
        <v>29.524386</v>
      </c>
      <c r="J99" s="11">
        <v>75.276517999999996</v>
      </c>
      <c r="K99" s="11" t="s">
        <v>145</v>
      </c>
      <c r="L99" s="11"/>
      <c r="M99" s="11"/>
      <c r="N99" s="11"/>
      <c r="O99" s="11"/>
      <c r="P99" s="11" t="s">
        <v>146</v>
      </c>
      <c r="Q99" s="11"/>
      <c r="R99" s="11">
        <f t="shared" si="1"/>
        <v>936</v>
      </c>
      <c r="S99" s="11">
        <v>52</v>
      </c>
      <c r="T99" s="11">
        <v>18</v>
      </c>
    </row>
    <row r="100" spans="1:20" ht="14.25" customHeight="1" x14ac:dyDescent="0.2">
      <c r="A100" s="6"/>
      <c r="B100" s="7"/>
      <c r="C100" s="13"/>
      <c r="D100" s="11"/>
      <c r="E100" s="11"/>
      <c r="F100" s="6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>
        <f t="shared" si="1"/>
        <v>234</v>
      </c>
      <c r="S100" s="11">
        <v>26</v>
      </c>
      <c r="T100" s="11">
        <v>9</v>
      </c>
    </row>
    <row r="101" spans="1:20" ht="14.25" customHeight="1" x14ac:dyDescent="0.2">
      <c r="A101" s="6"/>
      <c r="B101" s="7"/>
      <c r="C101" s="13"/>
      <c r="D101" s="11" t="s">
        <v>137</v>
      </c>
      <c r="E101" s="11" t="s">
        <v>143</v>
      </c>
      <c r="F101" s="6"/>
      <c r="G101" s="11" t="s">
        <v>0</v>
      </c>
      <c r="H101" s="11" t="s">
        <v>27</v>
      </c>
      <c r="I101" s="11">
        <v>29.523976000000001</v>
      </c>
      <c r="J101" s="11">
        <v>75.276473999999993</v>
      </c>
      <c r="K101" s="11" t="s">
        <v>147</v>
      </c>
      <c r="L101" s="11"/>
      <c r="M101" s="11"/>
      <c r="N101" s="11"/>
      <c r="O101" s="11"/>
      <c r="P101" s="11" t="s">
        <v>146</v>
      </c>
      <c r="Q101" s="11"/>
      <c r="R101" s="11">
        <f t="shared" si="1"/>
        <v>595</v>
      </c>
      <c r="S101" s="11">
        <v>35</v>
      </c>
      <c r="T101" s="11">
        <v>17</v>
      </c>
    </row>
    <row r="102" spans="1:20" ht="14.25" customHeight="1" x14ac:dyDescent="0.2">
      <c r="A102" s="6">
        <v>17</v>
      </c>
      <c r="B102" s="7" t="s">
        <v>148</v>
      </c>
      <c r="C102" s="8" t="s">
        <v>149</v>
      </c>
      <c r="D102" s="11" t="s">
        <v>24</v>
      </c>
      <c r="E102" s="11" t="s">
        <v>150</v>
      </c>
      <c r="F102" s="6" t="s">
        <v>151</v>
      </c>
      <c r="G102" s="11" t="s">
        <v>0</v>
      </c>
      <c r="H102" s="11" t="s">
        <v>27</v>
      </c>
      <c r="I102" s="11">
        <v>28.150151000000001</v>
      </c>
      <c r="J102" s="11">
        <v>77.330228000000005</v>
      </c>
      <c r="K102" s="11" t="s">
        <v>28</v>
      </c>
      <c r="L102" s="11"/>
      <c r="M102" s="11"/>
      <c r="N102" s="11"/>
      <c r="O102" s="11"/>
      <c r="P102" s="11" t="s">
        <v>141</v>
      </c>
      <c r="Q102" s="11"/>
      <c r="R102" s="11">
        <f t="shared" si="1"/>
        <v>588</v>
      </c>
      <c r="S102" s="11">
        <v>42</v>
      </c>
      <c r="T102" s="11">
        <v>14</v>
      </c>
    </row>
    <row r="103" spans="1:20" ht="14.25" customHeight="1" x14ac:dyDescent="0.2">
      <c r="A103" s="6"/>
      <c r="B103" s="7"/>
      <c r="C103" s="8"/>
      <c r="D103" s="11" t="s">
        <v>24</v>
      </c>
      <c r="E103" s="11" t="s">
        <v>150</v>
      </c>
      <c r="F103" s="6"/>
      <c r="G103" s="11" t="s">
        <v>0</v>
      </c>
      <c r="H103" s="11" t="s">
        <v>27</v>
      </c>
      <c r="I103" s="11">
        <v>28.150120000000001</v>
      </c>
      <c r="J103" s="11">
        <v>77.330213000000001</v>
      </c>
      <c r="K103" s="11" t="s">
        <v>28</v>
      </c>
      <c r="L103" s="11"/>
      <c r="M103" s="11"/>
      <c r="N103" s="11"/>
      <c r="O103" s="11"/>
      <c r="P103" s="11" t="s">
        <v>141</v>
      </c>
      <c r="Q103" s="11"/>
      <c r="R103" s="11">
        <f t="shared" si="1"/>
        <v>528</v>
      </c>
      <c r="S103" s="11">
        <v>44</v>
      </c>
      <c r="T103" s="11">
        <v>12</v>
      </c>
    </row>
    <row r="104" spans="1:20" ht="14.25" customHeight="1" x14ac:dyDescent="0.2">
      <c r="A104" s="6"/>
      <c r="B104" s="7"/>
      <c r="C104" s="8"/>
      <c r="D104" s="11"/>
      <c r="E104" s="11"/>
      <c r="F104" s="6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>
        <f t="shared" si="1"/>
        <v>384</v>
      </c>
      <c r="S104" s="11">
        <v>32</v>
      </c>
      <c r="T104" s="11">
        <v>12</v>
      </c>
    </row>
    <row r="105" spans="1:20" ht="14.25" customHeight="1" x14ac:dyDescent="0.2">
      <c r="A105" s="6"/>
      <c r="B105" s="7"/>
      <c r="C105" s="8"/>
      <c r="D105" s="11" t="s">
        <v>24</v>
      </c>
      <c r="E105" s="11" t="s">
        <v>150</v>
      </c>
      <c r="F105" s="6"/>
      <c r="G105" s="11" t="s">
        <v>0</v>
      </c>
      <c r="H105" s="11" t="s">
        <v>27</v>
      </c>
      <c r="I105" s="11">
        <v>28.149899999999999</v>
      </c>
      <c r="J105" s="11">
        <v>77.330323000000007</v>
      </c>
      <c r="K105" s="11" t="s">
        <v>28</v>
      </c>
      <c r="L105" s="11"/>
      <c r="M105" s="11"/>
      <c r="N105" s="11"/>
      <c r="O105" s="11"/>
      <c r="P105" s="11" t="s">
        <v>141</v>
      </c>
      <c r="Q105" s="11"/>
      <c r="R105" s="11">
        <f t="shared" si="1"/>
        <v>100</v>
      </c>
      <c r="S105" s="11">
        <v>50</v>
      </c>
      <c r="T105" s="11">
        <v>2</v>
      </c>
    </row>
    <row r="106" spans="1:20" ht="14.25" customHeight="1" x14ac:dyDescent="0.2">
      <c r="A106" s="6"/>
      <c r="B106" s="7"/>
      <c r="C106" s="8"/>
      <c r="D106" s="11"/>
      <c r="E106" s="11"/>
      <c r="F106" s="6"/>
      <c r="G106" s="11"/>
      <c r="H106" s="11"/>
      <c r="I106" s="11"/>
      <c r="J106" s="11"/>
      <c r="K106" s="11"/>
      <c r="L106" s="11" t="s">
        <v>152</v>
      </c>
      <c r="M106" s="11"/>
      <c r="N106" s="11"/>
      <c r="O106" s="11"/>
      <c r="P106" s="11"/>
      <c r="Q106" s="11"/>
      <c r="R106" s="11">
        <f t="shared" si="1"/>
        <v>192</v>
      </c>
      <c r="S106" s="11">
        <v>48</v>
      </c>
      <c r="T106" s="11">
        <v>4</v>
      </c>
    </row>
    <row r="107" spans="1:20" ht="14.25" customHeight="1" x14ac:dyDescent="0.2">
      <c r="A107" s="6"/>
      <c r="B107" s="7"/>
      <c r="C107" s="8"/>
      <c r="D107" s="11" t="s">
        <v>24</v>
      </c>
      <c r="E107" s="11" t="s">
        <v>150</v>
      </c>
      <c r="F107" s="6"/>
      <c r="G107" s="11" t="s">
        <v>0</v>
      </c>
      <c r="H107" s="11" t="s">
        <v>27</v>
      </c>
      <c r="I107" s="11">
        <v>28.150210000000001</v>
      </c>
      <c r="J107" s="11">
        <v>77.330308000000002</v>
      </c>
      <c r="K107" s="11" t="s">
        <v>28</v>
      </c>
      <c r="L107" s="11"/>
      <c r="M107" s="11"/>
      <c r="N107" s="11"/>
      <c r="O107" s="11"/>
      <c r="P107" s="11" t="s">
        <v>141</v>
      </c>
      <c r="Q107" s="11"/>
      <c r="R107" s="11">
        <f t="shared" si="1"/>
        <v>52</v>
      </c>
      <c r="S107" s="11">
        <v>26</v>
      </c>
      <c r="T107" s="11">
        <v>2</v>
      </c>
    </row>
    <row r="108" spans="1:20" ht="14.25" customHeight="1" x14ac:dyDescent="0.2">
      <c r="A108" s="6"/>
      <c r="B108" s="7"/>
      <c r="C108" s="8"/>
      <c r="D108" s="11" t="s">
        <v>24</v>
      </c>
      <c r="E108" s="11" t="s">
        <v>150</v>
      </c>
      <c r="F108" s="6"/>
      <c r="G108" s="11" t="s">
        <v>0</v>
      </c>
      <c r="H108" s="11" t="s">
        <v>27</v>
      </c>
      <c r="I108" s="11">
        <v>28.149778999999999</v>
      </c>
      <c r="J108" s="11">
        <v>77.331096000000002</v>
      </c>
      <c r="K108" s="11" t="s">
        <v>31</v>
      </c>
      <c r="L108" s="11"/>
      <c r="M108" s="11"/>
      <c r="N108" s="11"/>
      <c r="O108" s="11"/>
      <c r="P108" s="11" t="s">
        <v>141</v>
      </c>
      <c r="Q108" s="11"/>
      <c r="R108" s="11">
        <f t="shared" si="1"/>
        <v>595</v>
      </c>
      <c r="S108" s="11">
        <v>35</v>
      </c>
      <c r="T108" s="11">
        <v>17</v>
      </c>
    </row>
    <row r="109" spans="1:20" ht="14.25" customHeight="1" x14ac:dyDescent="0.2">
      <c r="A109" s="6"/>
      <c r="B109" s="7"/>
      <c r="C109" s="8"/>
      <c r="D109" s="11"/>
      <c r="E109" s="11"/>
      <c r="F109" s="6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>
        <f t="shared" si="1"/>
        <v>140</v>
      </c>
      <c r="S109" s="11">
        <v>14</v>
      </c>
      <c r="T109" s="11">
        <v>10</v>
      </c>
    </row>
    <row r="110" spans="1:20" ht="14.25" customHeight="1" x14ac:dyDescent="0.2">
      <c r="A110" s="6"/>
      <c r="B110" s="7"/>
      <c r="C110" s="8"/>
      <c r="D110" s="11" t="s">
        <v>24</v>
      </c>
      <c r="E110" s="11" t="s">
        <v>150</v>
      </c>
      <c r="F110" s="6"/>
      <c r="G110" s="11" t="s">
        <v>0</v>
      </c>
      <c r="H110" s="11" t="s">
        <v>27</v>
      </c>
      <c r="I110" s="11">
        <v>28.149674000000001</v>
      </c>
      <c r="J110" s="11">
        <v>77.330427999999998</v>
      </c>
      <c r="K110" s="11" t="s">
        <v>33</v>
      </c>
      <c r="L110" s="11" t="s">
        <v>38</v>
      </c>
      <c r="M110" s="11"/>
      <c r="N110" s="11"/>
      <c r="O110" s="11"/>
      <c r="P110" s="11" t="s">
        <v>146</v>
      </c>
      <c r="Q110" s="11"/>
      <c r="R110" s="11">
        <f t="shared" si="1"/>
        <v>675</v>
      </c>
      <c r="S110" s="11">
        <v>45</v>
      </c>
      <c r="T110" s="11">
        <v>15</v>
      </c>
    </row>
    <row r="111" spans="1:20" ht="14.25" customHeight="1" x14ac:dyDescent="0.2">
      <c r="A111" s="6"/>
      <c r="B111" s="7"/>
      <c r="C111" s="8"/>
      <c r="D111" s="11"/>
      <c r="E111" s="11"/>
      <c r="F111" s="6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>
        <f t="shared" si="1"/>
        <v>40</v>
      </c>
      <c r="S111" s="11">
        <v>10</v>
      </c>
      <c r="T111" s="11">
        <v>4</v>
      </c>
    </row>
    <row r="112" spans="1:20" ht="14.25" customHeight="1" x14ac:dyDescent="0.2">
      <c r="A112" s="6"/>
      <c r="B112" s="7"/>
      <c r="C112" s="8"/>
      <c r="D112" s="11"/>
      <c r="E112" s="11"/>
      <c r="F112" s="6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>
        <f t="shared" si="1"/>
        <v>30</v>
      </c>
      <c r="S112" s="11">
        <v>15</v>
      </c>
      <c r="T112" s="11">
        <v>2</v>
      </c>
    </row>
    <row r="113" spans="1:20" ht="14.25" customHeight="1" x14ac:dyDescent="0.2">
      <c r="A113" s="6"/>
      <c r="B113" s="7"/>
      <c r="C113" s="8"/>
      <c r="D113" s="11"/>
      <c r="E113" s="11"/>
      <c r="F113" s="6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>
        <f t="shared" si="1"/>
        <v>264</v>
      </c>
      <c r="S113" s="11">
        <v>12</v>
      </c>
      <c r="T113" s="11">
        <v>22</v>
      </c>
    </row>
    <row r="114" spans="1:20" ht="14.25" customHeight="1" x14ac:dyDescent="0.2">
      <c r="A114" s="6">
        <v>18</v>
      </c>
      <c r="B114" s="7" t="s">
        <v>148</v>
      </c>
      <c r="C114" s="8" t="s">
        <v>153</v>
      </c>
      <c r="D114" s="11" t="s">
        <v>24</v>
      </c>
      <c r="E114" s="11" t="s">
        <v>154</v>
      </c>
      <c r="F114" s="6" t="s">
        <v>155</v>
      </c>
      <c r="G114" s="11" t="s">
        <v>0</v>
      </c>
      <c r="H114" s="11" t="s">
        <v>27</v>
      </c>
      <c r="I114" s="11">
        <v>28.358208000000001</v>
      </c>
      <c r="J114" s="11">
        <v>77.268613999999999</v>
      </c>
      <c r="K114" s="11" t="s">
        <v>156</v>
      </c>
      <c r="L114" s="11" t="s">
        <v>38</v>
      </c>
      <c r="M114" s="11"/>
      <c r="N114" s="11"/>
      <c r="O114" s="11"/>
      <c r="P114" s="11" t="s">
        <v>157</v>
      </c>
      <c r="Q114" s="11"/>
      <c r="R114" s="11">
        <f t="shared" si="1"/>
        <v>320</v>
      </c>
      <c r="S114" s="11">
        <v>20</v>
      </c>
      <c r="T114" s="11">
        <v>16</v>
      </c>
    </row>
    <row r="115" spans="1:20" ht="14.25" customHeight="1" x14ac:dyDescent="0.2">
      <c r="A115" s="6"/>
      <c r="B115" s="7"/>
      <c r="C115" s="8"/>
      <c r="D115" s="11"/>
      <c r="E115" s="11"/>
      <c r="F115" s="6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>
        <f t="shared" si="1"/>
        <v>240</v>
      </c>
      <c r="S115" s="11">
        <v>20</v>
      </c>
      <c r="T115" s="11">
        <v>12</v>
      </c>
    </row>
    <row r="116" spans="1:20" ht="14.25" customHeight="1" x14ac:dyDescent="0.2">
      <c r="A116" s="6"/>
      <c r="B116" s="7"/>
      <c r="C116" s="8"/>
      <c r="D116" s="11"/>
      <c r="E116" s="11"/>
      <c r="F116" s="6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>
        <f t="shared" si="1"/>
        <v>80</v>
      </c>
      <c r="S116" s="11">
        <v>8</v>
      </c>
      <c r="T116" s="11">
        <v>10</v>
      </c>
    </row>
    <row r="117" spans="1:20" ht="14.25" customHeight="1" x14ac:dyDescent="0.2">
      <c r="A117" s="6"/>
      <c r="B117" s="7"/>
      <c r="C117" s="8"/>
      <c r="D117" s="11" t="s">
        <v>24</v>
      </c>
      <c r="E117" s="11" t="s">
        <v>154</v>
      </c>
      <c r="F117" s="6"/>
      <c r="G117" s="11" t="s">
        <v>0</v>
      </c>
      <c r="H117" s="11" t="s">
        <v>27</v>
      </c>
      <c r="I117" s="11">
        <v>28.358046999999999</v>
      </c>
      <c r="J117" s="11">
        <v>77.268775000000005</v>
      </c>
      <c r="K117" s="11" t="s">
        <v>156</v>
      </c>
      <c r="L117" s="11"/>
      <c r="M117" s="11"/>
      <c r="N117" s="11"/>
      <c r="O117" s="11"/>
      <c r="P117" s="11" t="s">
        <v>157</v>
      </c>
      <c r="Q117" s="11"/>
      <c r="R117" s="11">
        <f t="shared" si="1"/>
        <v>240</v>
      </c>
      <c r="S117" s="11">
        <v>20</v>
      </c>
      <c r="T117" s="11">
        <v>12</v>
      </c>
    </row>
    <row r="118" spans="1:20" ht="14.25" customHeight="1" x14ac:dyDescent="0.2">
      <c r="A118" s="6"/>
      <c r="B118" s="7"/>
      <c r="C118" s="8"/>
      <c r="D118" s="11" t="s">
        <v>24</v>
      </c>
      <c r="E118" s="11" t="s">
        <v>154</v>
      </c>
      <c r="F118" s="6"/>
      <c r="G118" s="11" t="s">
        <v>0</v>
      </c>
      <c r="H118" s="11" t="s">
        <v>27</v>
      </c>
      <c r="I118" s="11">
        <v>28.358006</v>
      </c>
      <c r="J118" s="11">
        <v>77.268553999999995</v>
      </c>
      <c r="K118" s="11" t="s">
        <v>158</v>
      </c>
      <c r="L118" s="11"/>
      <c r="M118" s="11"/>
      <c r="N118" s="11"/>
      <c r="O118" s="11"/>
      <c r="P118" s="11" t="s">
        <v>157</v>
      </c>
      <c r="Q118" s="11"/>
      <c r="R118" s="11">
        <f t="shared" si="1"/>
        <v>1284</v>
      </c>
      <c r="S118" s="11">
        <v>107</v>
      </c>
      <c r="T118" s="11">
        <v>12</v>
      </c>
    </row>
    <row r="119" spans="1:20" ht="14.25" customHeight="1" x14ac:dyDescent="0.2">
      <c r="A119" s="6"/>
      <c r="B119" s="7"/>
      <c r="C119" s="8"/>
      <c r="D119" s="11" t="s">
        <v>24</v>
      </c>
      <c r="E119" s="11" t="s">
        <v>154</v>
      </c>
      <c r="F119" s="6"/>
      <c r="G119" s="11" t="s">
        <v>0</v>
      </c>
      <c r="H119" s="11" t="s">
        <v>27</v>
      </c>
      <c r="I119" s="11">
        <v>28.358052000000001</v>
      </c>
      <c r="J119" s="11">
        <v>77.268596000000002</v>
      </c>
      <c r="K119" s="11" t="s">
        <v>73</v>
      </c>
      <c r="L119" s="11"/>
      <c r="M119" s="11"/>
      <c r="N119" s="11"/>
      <c r="O119" s="11"/>
      <c r="P119" s="11" t="s">
        <v>157</v>
      </c>
      <c r="Q119" s="11"/>
      <c r="R119" s="11">
        <f t="shared" si="1"/>
        <v>504</v>
      </c>
      <c r="S119" s="11">
        <v>42</v>
      </c>
      <c r="T119" s="11">
        <v>12</v>
      </c>
    </row>
    <row r="120" spans="1:20" ht="14.25" customHeight="1" x14ac:dyDescent="0.2">
      <c r="A120" s="6"/>
      <c r="B120" s="7"/>
      <c r="C120" s="8"/>
      <c r="D120" s="11" t="s">
        <v>24</v>
      </c>
      <c r="E120" s="11" t="s">
        <v>154</v>
      </c>
      <c r="F120" s="6"/>
      <c r="G120" s="11" t="s">
        <v>0</v>
      </c>
      <c r="H120" s="11" t="s">
        <v>27</v>
      </c>
      <c r="I120" s="11">
        <v>28.357931000000001</v>
      </c>
      <c r="J120" s="11">
        <v>77.268528000000003</v>
      </c>
      <c r="K120" s="11" t="s">
        <v>74</v>
      </c>
      <c r="L120" s="11"/>
      <c r="M120" s="11"/>
      <c r="N120" s="11"/>
      <c r="O120" s="11"/>
      <c r="P120" s="11" t="s">
        <v>157</v>
      </c>
      <c r="Q120" s="11"/>
      <c r="R120" s="11">
        <f t="shared" si="1"/>
        <v>720</v>
      </c>
      <c r="S120" s="11">
        <v>60</v>
      </c>
      <c r="T120" s="11">
        <v>12</v>
      </c>
    </row>
    <row r="121" spans="1:20" ht="14.25" customHeight="1" x14ac:dyDescent="0.2">
      <c r="A121" s="6">
        <v>19</v>
      </c>
      <c r="B121" s="7" t="s">
        <v>148</v>
      </c>
      <c r="C121" s="8" t="s">
        <v>159</v>
      </c>
      <c r="D121" s="11" t="s">
        <v>24</v>
      </c>
      <c r="E121" s="11" t="s">
        <v>160</v>
      </c>
      <c r="F121" s="6" t="s">
        <v>161</v>
      </c>
      <c r="G121" s="11" t="s">
        <v>0</v>
      </c>
      <c r="H121" s="11" t="s">
        <v>27</v>
      </c>
      <c r="I121" s="11">
        <v>28.207025000000002</v>
      </c>
      <c r="J121" s="11">
        <v>76.798197000000002</v>
      </c>
      <c r="K121" s="11" t="s">
        <v>162</v>
      </c>
      <c r="L121" s="11"/>
      <c r="M121" s="11"/>
      <c r="N121" s="11"/>
      <c r="O121" s="11"/>
      <c r="P121" s="11" t="s">
        <v>157</v>
      </c>
      <c r="Q121" s="11"/>
      <c r="R121" s="11">
        <f t="shared" si="1"/>
        <v>450</v>
      </c>
      <c r="S121" s="11">
        <v>75</v>
      </c>
      <c r="T121" s="11">
        <v>6</v>
      </c>
    </row>
    <row r="122" spans="1:20" ht="14.25" customHeight="1" x14ac:dyDescent="0.2">
      <c r="A122" s="6"/>
      <c r="B122" s="7"/>
      <c r="C122" s="8"/>
      <c r="D122" s="11" t="s">
        <v>24</v>
      </c>
      <c r="E122" s="11" t="s">
        <v>160</v>
      </c>
      <c r="F122" s="6"/>
      <c r="G122" s="11" t="s">
        <v>0</v>
      </c>
      <c r="H122" s="11" t="s">
        <v>27</v>
      </c>
      <c r="I122" s="11">
        <v>28.209679999999999</v>
      </c>
      <c r="J122" s="11">
        <v>76.815026000000003</v>
      </c>
      <c r="K122" s="11" t="s">
        <v>163</v>
      </c>
      <c r="L122" s="11"/>
      <c r="M122" s="11"/>
      <c r="N122" s="11"/>
      <c r="O122" s="11"/>
      <c r="P122" s="11" t="s">
        <v>164</v>
      </c>
      <c r="Q122" s="11"/>
      <c r="R122" s="11">
        <f t="shared" si="1"/>
        <v>1410.5</v>
      </c>
      <c r="S122" s="11">
        <v>217</v>
      </c>
      <c r="T122" s="11">
        <v>6.5</v>
      </c>
    </row>
    <row r="123" spans="1:20" ht="14.25" customHeight="1" x14ac:dyDescent="0.2">
      <c r="A123" s="6"/>
      <c r="B123" s="7"/>
      <c r="C123" s="8"/>
      <c r="D123" s="11" t="s">
        <v>24</v>
      </c>
      <c r="E123" s="11" t="s">
        <v>160</v>
      </c>
      <c r="F123" s="6"/>
      <c r="G123" s="11" t="s">
        <v>0</v>
      </c>
      <c r="H123" s="11" t="s">
        <v>27</v>
      </c>
      <c r="I123" s="11">
        <v>28.217357</v>
      </c>
      <c r="J123" s="11">
        <v>76.834458999999995</v>
      </c>
      <c r="K123" s="11" t="s">
        <v>165</v>
      </c>
      <c r="L123" s="11"/>
      <c r="M123" s="11"/>
      <c r="N123" s="11"/>
      <c r="O123" s="11"/>
      <c r="P123" s="11" t="s">
        <v>164</v>
      </c>
      <c r="Q123" s="11"/>
      <c r="R123" s="11">
        <f t="shared" si="1"/>
        <v>960</v>
      </c>
      <c r="S123" s="11">
        <v>160</v>
      </c>
      <c r="T123" s="11">
        <v>6</v>
      </c>
    </row>
    <row r="124" spans="1:20" ht="14.25" customHeight="1" x14ac:dyDescent="0.2">
      <c r="A124" s="6"/>
      <c r="B124" s="7"/>
      <c r="C124" s="8"/>
      <c r="D124" s="11" t="s">
        <v>24</v>
      </c>
      <c r="E124" s="11" t="s">
        <v>160</v>
      </c>
      <c r="F124" s="6"/>
      <c r="G124" s="11" t="s">
        <v>0</v>
      </c>
      <c r="H124" s="11" t="s">
        <v>27</v>
      </c>
      <c r="I124" s="11">
        <v>28.216850000000001</v>
      </c>
      <c r="J124" s="11">
        <v>76.834470999999994</v>
      </c>
      <c r="K124" s="11" t="s">
        <v>77</v>
      </c>
      <c r="L124" s="11"/>
      <c r="M124" s="11"/>
      <c r="N124" s="11"/>
      <c r="O124" s="11"/>
      <c r="P124" s="11" t="s">
        <v>164</v>
      </c>
      <c r="Q124" s="11"/>
      <c r="R124" s="11">
        <f t="shared" si="1"/>
        <v>960</v>
      </c>
      <c r="S124" s="11">
        <v>160</v>
      </c>
      <c r="T124" s="11">
        <v>6</v>
      </c>
    </row>
    <row r="125" spans="1:20" ht="14.25" customHeight="1" x14ac:dyDescent="0.2">
      <c r="A125" s="6"/>
      <c r="B125" s="7"/>
      <c r="C125" s="8"/>
      <c r="D125" s="11" t="s">
        <v>24</v>
      </c>
      <c r="E125" s="11" t="s">
        <v>160</v>
      </c>
      <c r="F125" s="6"/>
      <c r="G125" s="11" t="s">
        <v>0</v>
      </c>
      <c r="H125" s="11" t="s">
        <v>27</v>
      </c>
      <c r="I125" s="11">
        <v>28.217082999999999</v>
      </c>
      <c r="J125" s="11">
        <v>76.824089000000001</v>
      </c>
      <c r="K125" s="11" t="s">
        <v>78</v>
      </c>
      <c r="L125" s="11"/>
      <c r="M125" s="11"/>
      <c r="N125" s="11"/>
      <c r="O125" s="11"/>
      <c r="P125" s="11" t="s">
        <v>166</v>
      </c>
      <c r="Q125" s="11"/>
      <c r="R125" s="11">
        <f t="shared" si="1"/>
        <v>624</v>
      </c>
      <c r="S125" s="11">
        <v>78</v>
      </c>
      <c r="T125" s="11">
        <v>8</v>
      </c>
    </row>
    <row r="126" spans="1:20" ht="14.25" customHeight="1" x14ac:dyDescent="0.2">
      <c r="A126" s="6"/>
      <c r="B126" s="7"/>
      <c r="C126" s="8"/>
      <c r="D126" s="11"/>
      <c r="E126" s="11"/>
      <c r="F126" s="6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>
        <f t="shared" si="1"/>
        <v>144</v>
      </c>
      <c r="S126" s="11">
        <v>12</v>
      </c>
      <c r="T126" s="11">
        <v>12</v>
      </c>
    </row>
    <row r="127" spans="1:20" ht="14.25" customHeight="1" x14ac:dyDescent="0.2">
      <c r="A127" s="6"/>
      <c r="B127" s="7"/>
      <c r="C127" s="8"/>
      <c r="D127" s="11" t="s">
        <v>24</v>
      </c>
      <c r="E127" s="11" t="s">
        <v>160</v>
      </c>
      <c r="F127" s="6"/>
      <c r="G127" s="11" t="s">
        <v>0</v>
      </c>
      <c r="H127" s="11" t="s">
        <v>27</v>
      </c>
      <c r="I127" s="11">
        <v>28.217369000000001</v>
      </c>
      <c r="J127" s="11">
        <v>76.824710999999994</v>
      </c>
      <c r="K127" s="11" t="s">
        <v>52</v>
      </c>
      <c r="L127" s="11"/>
      <c r="M127" s="11"/>
      <c r="N127" s="11"/>
      <c r="O127" s="11"/>
      <c r="P127" s="11" t="s">
        <v>166</v>
      </c>
      <c r="Q127" s="11"/>
      <c r="R127" s="11">
        <f t="shared" si="1"/>
        <v>836</v>
      </c>
      <c r="S127" s="11">
        <v>76</v>
      </c>
      <c r="T127" s="11">
        <v>11</v>
      </c>
    </row>
    <row r="128" spans="1:20" ht="14.25" customHeight="1" x14ac:dyDescent="0.2">
      <c r="A128" s="15">
        <v>20</v>
      </c>
      <c r="B128" s="16" t="s">
        <v>148</v>
      </c>
      <c r="C128" s="17" t="s">
        <v>167</v>
      </c>
      <c r="D128" s="11" t="s">
        <v>137</v>
      </c>
      <c r="E128" s="11" t="s">
        <v>50</v>
      </c>
      <c r="F128" s="15" t="s">
        <v>168</v>
      </c>
      <c r="G128" s="11" t="s">
        <v>0</v>
      </c>
      <c r="H128" s="11" t="s">
        <v>27</v>
      </c>
      <c r="I128" s="11"/>
      <c r="J128" s="11"/>
      <c r="K128" s="11" t="s">
        <v>169</v>
      </c>
      <c r="L128" s="11"/>
      <c r="M128" s="11"/>
      <c r="N128" s="11"/>
      <c r="O128" s="11"/>
      <c r="P128" s="12">
        <v>45802</v>
      </c>
      <c r="Q128" s="11"/>
      <c r="R128" s="11">
        <f t="shared" si="1"/>
        <v>304</v>
      </c>
      <c r="S128" s="11">
        <v>38</v>
      </c>
      <c r="T128" s="11">
        <v>8</v>
      </c>
    </row>
    <row r="129" spans="1:20" ht="14.25" customHeight="1" x14ac:dyDescent="0.2">
      <c r="A129" s="15"/>
      <c r="B129" s="16"/>
      <c r="C129" s="17"/>
      <c r="D129" s="11" t="s">
        <v>137</v>
      </c>
      <c r="E129" s="11" t="s">
        <v>50</v>
      </c>
      <c r="F129" s="15"/>
      <c r="G129" s="11" t="s">
        <v>0</v>
      </c>
      <c r="H129" s="11" t="s">
        <v>27</v>
      </c>
      <c r="I129" s="11"/>
      <c r="J129" s="11"/>
      <c r="K129" s="11" t="s">
        <v>170</v>
      </c>
      <c r="L129" s="11"/>
      <c r="M129" s="11"/>
      <c r="N129" s="11"/>
      <c r="O129" s="11"/>
      <c r="P129" s="12">
        <v>45802</v>
      </c>
      <c r="Q129" s="11"/>
      <c r="R129" s="11">
        <f t="shared" si="1"/>
        <v>200</v>
      </c>
      <c r="S129" s="11">
        <v>25</v>
      </c>
      <c r="T129" s="11">
        <v>8</v>
      </c>
    </row>
    <row r="130" spans="1:20" ht="14.25" customHeight="1" x14ac:dyDescent="0.2">
      <c r="A130" s="15"/>
      <c r="B130" s="16"/>
      <c r="C130" s="17"/>
      <c r="D130" s="11" t="s">
        <v>137</v>
      </c>
      <c r="E130" s="11" t="s">
        <v>50</v>
      </c>
      <c r="F130" s="15"/>
      <c r="G130" s="11" t="s">
        <v>0</v>
      </c>
      <c r="H130" s="11" t="s">
        <v>27</v>
      </c>
      <c r="I130" s="11"/>
      <c r="J130" s="11"/>
      <c r="K130" s="11" t="s">
        <v>170</v>
      </c>
      <c r="L130" s="11"/>
      <c r="M130" s="11"/>
      <c r="N130" s="11"/>
      <c r="O130" s="11"/>
      <c r="P130" s="12">
        <v>45802</v>
      </c>
      <c r="Q130" s="11"/>
      <c r="R130" s="11">
        <f t="shared" si="1"/>
        <v>196</v>
      </c>
      <c r="S130" s="11">
        <v>28</v>
      </c>
      <c r="T130" s="11">
        <v>7</v>
      </c>
    </row>
    <row r="131" spans="1:20" ht="14.25" customHeight="1" x14ac:dyDescent="0.2">
      <c r="A131" s="15"/>
      <c r="B131" s="16"/>
      <c r="C131" s="17"/>
      <c r="D131" s="11" t="s">
        <v>137</v>
      </c>
      <c r="E131" s="11" t="s">
        <v>50</v>
      </c>
      <c r="F131" s="15"/>
      <c r="G131" s="11" t="s">
        <v>0</v>
      </c>
      <c r="H131" s="11" t="s">
        <v>27</v>
      </c>
      <c r="I131" s="11"/>
      <c r="J131" s="11"/>
      <c r="K131" s="11" t="s">
        <v>170</v>
      </c>
      <c r="L131" s="11"/>
      <c r="M131" s="11"/>
      <c r="N131" s="11"/>
      <c r="O131" s="11"/>
      <c r="P131" s="12">
        <v>45802</v>
      </c>
      <c r="Q131" s="11"/>
      <c r="R131" s="11">
        <f t="shared" ref="R131:R194" si="2">S131*T131</f>
        <v>95</v>
      </c>
      <c r="S131" s="11">
        <v>19</v>
      </c>
      <c r="T131" s="11">
        <v>5</v>
      </c>
    </row>
    <row r="132" spans="1:20" ht="14.25" customHeight="1" x14ac:dyDescent="0.2">
      <c r="A132" s="15"/>
      <c r="B132" s="16"/>
      <c r="C132" s="17"/>
      <c r="D132" s="11" t="s">
        <v>137</v>
      </c>
      <c r="E132" s="11" t="s">
        <v>50</v>
      </c>
      <c r="F132" s="15"/>
      <c r="G132" s="11" t="s">
        <v>0</v>
      </c>
      <c r="H132" s="11" t="s">
        <v>27</v>
      </c>
      <c r="I132" s="11"/>
      <c r="J132" s="11"/>
      <c r="K132" s="11" t="s">
        <v>171</v>
      </c>
      <c r="L132" s="11"/>
      <c r="M132" s="11"/>
      <c r="N132" s="11"/>
      <c r="O132" s="11"/>
      <c r="P132" s="12">
        <v>45802</v>
      </c>
      <c r="Q132" s="11"/>
      <c r="R132" s="11">
        <f t="shared" si="2"/>
        <v>189</v>
      </c>
      <c r="S132" s="11">
        <v>21</v>
      </c>
      <c r="T132" s="11">
        <v>9</v>
      </c>
    </row>
    <row r="133" spans="1:20" ht="14.25" customHeight="1" x14ac:dyDescent="0.2">
      <c r="A133" s="15"/>
      <c r="B133" s="16"/>
      <c r="C133" s="17"/>
      <c r="D133" s="11" t="s">
        <v>137</v>
      </c>
      <c r="E133" s="11" t="s">
        <v>50</v>
      </c>
      <c r="F133" s="15"/>
      <c r="G133" s="11" t="s">
        <v>0</v>
      </c>
      <c r="H133" s="11" t="s">
        <v>27</v>
      </c>
      <c r="I133" s="11"/>
      <c r="J133" s="11"/>
      <c r="K133" s="11" t="s">
        <v>172</v>
      </c>
      <c r="L133" s="11"/>
      <c r="M133" s="11"/>
      <c r="N133" s="11"/>
      <c r="O133" s="11"/>
      <c r="P133" s="12">
        <v>45803</v>
      </c>
      <c r="Q133" s="11"/>
      <c r="R133" s="11">
        <f t="shared" si="2"/>
        <v>1260</v>
      </c>
      <c r="S133" s="11">
        <v>70</v>
      </c>
      <c r="T133" s="11">
        <v>18</v>
      </c>
    </row>
    <row r="134" spans="1:20" ht="14.25" customHeight="1" x14ac:dyDescent="0.2">
      <c r="A134" s="15"/>
      <c r="B134" s="16"/>
      <c r="C134" s="17"/>
      <c r="D134" s="11" t="s">
        <v>137</v>
      </c>
      <c r="E134" s="11" t="s">
        <v>50</v>
      </c>
      <c r="F134" s="15"/>
      <c r="G134" s="11" t="s">
        <v>0</v>
      </c>
      <c r="H134" s="11" t="s">
        <v>27</v>
      </c>
      <c r="I134" s="11"/>
      <c r="J134" s="11"/>
      <c r="K134" s="11" t="s">
        <v>173</v>
      </c>
      <c r="L134" s="11"/>
      <c r="M134" s="11"/>
      <c r="N134" s="11"/>
      <c r="O134" s="11"/>
      <c r="P134" s="12">
        <v>45803</v>
      </c>
      <c r="Q134" s="11"/>
      <c r="R134" s="11">
        <f t="shared" si="2"/>
        <v>420</v>
      </c>
      <c r="S134" s="11">
        <v>35</v>
      </c>
      <c r="T134" s="11">
        <v>12</v>
      </c>
    </row>
    <row r="135" spans="1:20" ht="14.25" customHeight="1" x14ac:dyDescent="0.2">
      <c r="A135" s="15"/>
      <c r="B135" s="16"/>
      <c r="C135" s="17"/>
      <c r="D135" s="11"/>
      <c r="E135" s="11"/>
      <c r="F135" s="15"/>
      <c r="G135" s="11"/>
      <c r="H135" s="11"/>
      <c r="I135" s="11"/>
      <c r="J135" s="11"/>
      <c r="K135" s="11"/>
      <c r="L135" s="11"/>
      <c r="M135" s="11"/>
      <c r="N135" s="11"/>
      <c r="O135" s="11"/>
      <c r="P135" s="12"/>
      <c r="Q135" s="11"/>
      <c r="R135" s="11">
        <f t="shared" si="2"/>
        <v>90</v>
      </c>
      <c r="S135" s="11">
        <v>18</v>
      </c>
      <c r="T135" s="11">
        <v>5</v>
      </c>
    </row>
    <row r="136" spans="1:20" ht="14.25" customHeight="1" x14ac:dyDescent="0.2">
      <c r="A136" s="15"/>
      <c r="B136" s="16"/>
      <c r="C136" s="17"/>
      <c r="D136" s="11" t="s">
        <v>137</v>
      </c>
      <c r="E136" s="11" t="s">
        <v>50</v>
      </c>
      <c r="F136" s="15"/>
      <c r="G136" s="11" t="s">
        <v>0</v>
      </c>
      <c r="H136" s="11" t="s">
        <v>27</v>
      </c>
      <c r="I136" s="11"/>
      <c r="J136" s="11"/>
      <c r="K136" s="11" t="s">
        <v>174</v>
      </c>
      <c r="L136" s="11"/>
      <c r="M136" s="11"/>
      <c r="N136" s="11"/>
      <c r="O136" s="11"/>
      <c r="P136" s="12">
        <v>45803</v>
      </c>
      <c r="Q136" s="11"/>
      <c r="R136" s="11">
        <f t="shared" si="2"/>
        <v>570</v>
      </c>
      <c r="S136" s="11">
        <v>30</v>
      </c>
      <c r="T136" s="11">
        <v>19</v>
      </c>
    </row>
    <row r="137" spans="1:20" ht="14.25" customHeight="1" x14ac:dyDescent="0.2">
      <c r="A137" s="15"/>
      <c r="B137" s="16"/>
      <c r="C137" s="17"/>
      <c r="D137" s="11" t="s">
        <v>137</v>
      </c>
      <c r="E137" s="11" t="s">
        <v>50</v>
      </c>
      <c r="F137" s="15"/>
      <c r="G137" s="11" t="s">
        <v>0</v>
      </c>
      <c r="H137" s="11" t="s">
        <v>27</v>
      </c>
      <c r="I137" s="11"/>
      <c r="J137" s="11"/>
      <c r="K137" s="11" t="s">
        <v>175</v>
      </c>
      <c r="L137" s="11"/>
      <c r="M137" s="11"/>
      <c r="N137" s="11"/>
      <c r="O137" s="11"/>
      <c r="P137" s="12">
        <v>45803</v>
      </c>
      <c r="Q137" s="11"/>
      <c r="R137" s="11">
        <f t="shared" si="2"/>
        <v>121</v>
      </c>
      <c r="S137" s="11">
        <v>11</v>
      </c>
      <c r="T137" s="11">
        <v>11</v>
      </c>
    </row>
    <row r="138" spans="1:20" ht="14.25" customHeight="1" x14ac:dyDescent="0.2">
      <c r="A138" s="15"/>
      <c r="B138" s="16"/>
      <c r="C138" s="17"/>
      <c r="D138" s="11" t="s">
        <v>137</v>
      </c>
      <c r="E138" s="11" t="s">
        <v>50</v>
      </c>
      <c r="F138" s="15"/>
      <c r="G138" s="11" t="s">
        <v>0</v>
      </c>
      <c r="H138" s="11" t="s">
        <v>27</v>
      </c>
      <c r="I138" s="11"/>
      <c r="J138" s="11"/>
      <c r="K138" s="11" t="s">
        <v>176</v>
      </c>
      <c r="L138" s="11"/>
      <c r="M138" s="11"/>
      <c r="N138" s="11"/>
      <c r="O138" s="11"/>
      <c r="P138" s="12">
        <v>45803</v>
      </c>
      <c r="Q138" s="11"/>
      <c r="R138" s="11">
        <f t="shared" si="2"/>
        <v>200</v>
      </c>
      <c r="S138" s="11">
        <v>20</v>
      </c>
      <c r="T138" s="11">
        <v>10</v>
      </c>
    </row>
    <row r="139" spans="1:20" ht="14.25" customHeight="1" x14ac:dyDescent="0.2">
      <c r="A139" s="15"/>
      <c r="B139" s="16"/>
      <c r="C139" s="17"/>
      <c r="D139" s="11" t="s">
        <v>137</v>
      </c>
      <c r="E139" s="11" t="s">
        <v>50</v>
      </c>
      <c r="F139" s="15"/>
      <c r="G139" s="11" t="s">
        <v>0</v>
      </c>
      <c r="H139" s="11" t="s">
        <v>27</v>
      </c>
      <c r="I139" s="11"/>
      <c r="J139" s="11"/>
      <c r="K139" s="11" t="s">
        <v>176</v>
      </c>
      <c r="L139" s="11"/>
      <c r="M139" s="11"/>
      <c r="N139" s="11"/>
      <c r="O139" s="11"/>
      <c r="P139" s="12">
        <v>45803</v>
      </c>
      <c r="Q139" s="11"/>
      <c r="R139" s="11">
        <f t="shared" si="2"/>
        <v>1088</v>
      </c>
      <c r="S139" s="11">
        <v>64</v>
      </c>
      <c r="T139" s="11">
        <v>17</v>
      </c>
    </row>
    <row r="140" spans="1:20" ht="14.25" customHeight="1" x14ac:dyDescent="0.2">
      <c r="A140" s="6">
        <v>21</v>
      </c>
      <c r="B140" s="7" t="s">
        <v>177</v>
      </c>
      <c r="C140" s="13" t="s">
        <v>178</v>
      </c>
      <c r="D140" s="11" t="s">
        <v>137</v>
      </c>
      <c r="E140" s="11" t="s">
        <v>50</v>
      </c>
      <c r="F140" s="6" t="s">
        <v>179</v>
      </c>
      <c r="G140" s="11" t="s">
        <v>180</v>
      </c>
      <c r="H140" s="11" t="s">
        <v>27</v>
      </c>
      <c r="I140" s="11"/>
      <c r="J140" s="11"/>
      <c r="K140" s="11" t="s">
        <v>181</v>
      </c>
      <c r="L140" s="11"/>
      <c r="M140" s="11"/>
      <c r="N140" s="11"/>
      <c r="O140" s="11"/>
      <c r="P140" s="12">
        <v>45804</v>
      </c>
      <c r="Q140" s="11"/>
      <c r="R140" s="11">
        <f t="shared" si="2"/>
        <v>319</v>
      </c>
      <c r="S140" s="11">
        <v>29</v>
      </c>
      <c r="T140" s="11">
        <v>11</v>
      </c>
    </row>
    <row r="141" spans="1:20" ht="14.25" customHeight="1" x14ac:dyDescent="0.2">
      <c r="A141" s="6"/>
      <c r="B141" s="7"/>
      <c r="C141" s="13"/>
      <c r="D141" s="11" t="s">
        <v>137</v>
      </c>
      <c r="E141" s="11" t="s">
        <v>50</v>
      </c>
      <c r="F141" s="6"/>
      <c r="G141" s="11" t="s">
        <v>180</v>
      </c>
      <c r="H141" s="11" t="s">
        <v>27</v>
      </c>
      <c r="I141" s="11"/>
      <c r="J141" s="11"/>
      <c r="K141" s="11" t="s">
        <v>182</v>
      </c>
      <c r="L141" s="11"/>
      <c r="M141" s="11"/>
      <c r="N141" s="11"/>
      <c r="O141" s="11"/>
      <c r="P141" s="12">
        <v>45805</v>
      </c>
      <c r="Q141" s="11"/>
      <c r="R141" s="11">
        <f t="shared" si="2"/>
        <v>816</v>
      </c>
      <c r="S141" s="11">
        <v>68</v>
      </c>
      <c r="T141" s="11">
        <v>12</v>
      </c>
    </row>
    <row r="142" spans="1:20" ht="14.25" customHeight="1" x14ac:dyDescent="0.2">
      <c r="A142" s="6"/>
      <c r="B142" s="7"/>
      <c r="C142" s="13"/>
      <c r="D142" s="11"/>
      <c r="E142" s="11"/>
      <c r="F142" s="6"/>
      <c r="G142" s="11"/>
      <c r="H142" s="11"/>
      <c r="I142" s="11"/>
      <c r="J142" s="11"/>
      <c r="K142" s="11"/>
      <c r="L142" s="11"/>
      <c r="M142" s="11"/>
      <c r="N142" s="11"/>
      <c r="O142" s="11"/>
      <c r="P142" s="12"/>
      <c r="Q142" s="11"/>
      <c r="R142" s="11">
        <f t="shared" si="2"/>
        <v>63</v>
      </c>
      <c r="S142" s="11">
        <v>7</v>
      </c>
      <c r="T142" s="11">
        <v>9</v>
      </c>
    </row>
    <row r="143" spans="1:20" ht="14.25" customHeight="1" x14ac:dyDescent="0.2">
      <c r="A143" s="6"/>
      <c r="B143" s="7"/>
      <c r="C143" s="13"/>
      <c r="D143" s="11" t="s">
        <v>137</v>
      </c>
      <c r="E143" s="11" t="s">
        <v>50</v>
      </c>
      <c r="F143" s="6"/>
      <c r="G143" s="11" t="s">
        <v>180</v>
      </c>
      <c r="H143" s="11" t="s">
        <v>27</v>
      </c>
      <c r="I143" s="11"/>
      <c r="J143" s="11"/>
      <c r="K143" s="11" t="s">
        <v>183</v>
      </c>
      <c r="L143" s="11"/>
      <c r="M143" s="11"/>
      <c r="N143" s="11"/>
      <c r="O143" s="11"/>
      <c r="P143" s="12">
        <v>45805</v>
      </c>
      <c r="Q143" s="11"/>
      <c r="R143" s="11">
        <f t="shared" si="2"/>
        <v>440</v>
      </c>
      <c r="S143" s="11">
        <v>40</v>
      </c>
      <c r="T143" s="11">
        <v>11</v>
      </c>
    </row>
    <row r="144" spans="1:20" ht="14.25" customHeight="1" x14ac:dyDescent="0.2">
      <c r="A144" s="6">
        <v>22</v>
      </c>
      <c r="B144" s="7" t="s">
        <v>148</v>
      </c>
      <c r="C144" s="8" t="s">
        <v>184</v>
      </c>
      <c r="D144" s="11" t="s">
        <v>185</v>
      </c>
      <c r="E144" s="11" t="s">
        <v>50</v>
      </c>
      <c r="F144" s="6" t="s">
        <v>186</v>
      </c>
      <c r="G144" s="11" t="s">
        <v>0</v>
      </c>
      <c r="H144" s="11" t="s">
        <v>27</v>
      </c>
      <c r="I144" s="11"/>
      <c r="J144" s="11"/>
      <c r="K144" s="11" t="s">
        <v>187</v>
      </c>
      <c r="L144" s="11"/>
      <c r="M144" s="11"/>
      <c r="N144" s="11"/>
      <c r="O144" s="11"/>
      <c r="P144" s="12">
        <v>45804</v>
      </c>
      <c r="Q144" s="11"/>
      <c r="R144" s="11">
        <f t="shared" si="2"/>
        <v>384</v>
      </c>
      <c r="S144" s="11">
        <v>24</v>
      </c>
      <c r="T144" s="11">
        <v>16</v>
      </c>
    </row>
    <row r="145" spans="1:20" ht="14.25" customHeight="1" x14ac:dyDescent="0.2">
      <c r="A145" s="6"/>
      <c r="B145" s="7"/>
      <c r="C145" s="8"/>
      <c r="D145" s="11" t="s">
        <v>185</v>
      </c>
      <c r="E145" s="11" t="s">
        <v>50</v>
      </c>
      <c r="F145" s="6"/>
      <c r="G145" s="11" t="s">
        <v>0</v>
      </c>
      <c r="H145" s="11" t="s">
        <v>27</v>
      </c>
      <c r="I145" s="11"/>
      <c r="J145" s="11"/>
      <c r="K145" s="11" t="s">
        <v>188</v>
      </c>
      <c r="L145" s="11"/>
      <c r="M145" s="11"/>
      <c r="N145" s="11"/>
      <c r="O145" s="11"/>
      <c r="P145" s="12">
        <v>45805</v>
      </c>
      <c r="Q145" s="11"/>
      <c r="R145" s="11">
        <f t="shared" si="2"/>
        <v>1910</v>
      </c>
      <c r="S145" s="11">
        <v>191</v>
      </c>
      <c r="T145" s="11">
        <v>10</v>
      </c>
    </row>
    <row r="146" spans="1:20" ht="14.25" customHeight="1" x14ac:dyDescent="0.2">
      <c r="A146" s="6"/>
      <c r="B146" s="7"/>
      <c r="C146" s="8"/>
      <c r="D146" s="11" t="s">
        <v>185</v>
      </c>
      <c r="E146" s="11" t="s">
        <v>50</v>
      </c>
      <c r="F146" s="6"/>
      <c r="G146" s="11" t="s">
        <v>0</v>
      </c>
      <c r="H146" s="11" t="s">
        <v>27</v>
      </c>
      <c r="I146" s="11"/>
      <c r="J146" s="11"/>
      <c r="K146" s="11" t="s">
        <v>189</v>
      </c>
      <c r="L146" s="11"/>
      <c r="M146" s="11"/>
      <c r="N146" s="11"/>
      <c r="O146" s="11"/>
      <c r="P146" s="12">
        <v>45805</v>
      </c>
      <c r="Q146" s="11"/>
      <c r="R146" s="11">
        <f t="shared" si="2"/>
        <v>1460</v>
      </c>
      <c r="S146" s="11">
        <v>73</v>
      </c>
      <c r="T146" s="11">
        <v>20</v>
      </c>
    </row>
    <row r="147" spans="1:20" ht="14.25" customHeight="1" x14ac:dyDescent="0.2">
      <c r="A147" s="6"/>
      <c r="B147" s="7"/>
      <c r="C147" s="8"/>
      <c r="D147" s="11" t="s">
        <v>185</v>
      </c>
      <c r="E147" s="11" t="s">
        <v>50</v>
      </c>
      <c r="F147" s="6"/>
      <c r="G147" s="11" t="s">
        <v>0</v>
      </c>
      <c r="H147" s="11" t="s">
        <v>27</v>
      </c>
      <c r="I147" s="11"/>
      <c r="J147" s="11"/>
      <c r="K147" s="11" t="s">
        <v>190</v>
      </c>
      <c r="L147" s="11"/>
      <c r="M147" s="11"/>
      <c r="N147" s="11"/>
      <c r="O147" s="11"/>
      <c r="P147" s="12">
        <v>45805</v>
      </c>
      <c r="Q147" s="11"/>
      <c r="R147" s="11">
        <f t="shared" si="2"/>
        <v>225</v>
      </c>
      <c r="S147" s="11">
        <v>15</v>
      </c>
      <c r="T147" s="11">
        <v>15</v>
      </c>
    </row>
    <row r="148" spans="1:20" ht="14.25" customHeight="1" x14ac:dyDescent="0.2">
      <c r="A148" s="6"/>
      <c r="B148" s="7"/>
      <c r="C148" s="8"/>
      <c r="D148" s="11" t="s">
        <v>185</v>
      </c>
      <c r="E148" s="11" t="s">
        <v>50</v>
      </c>
      <c r="F148" s="6"/>
      <c r="G148" s="11" t="s">
        <v>0</v>
      </c>
      <c r="H148" s="11" t="s">
        <v>27</v>
      </c>
      <c r="I148" s="11"/>
      <c r="J148" s="11"/>
      <c r="K148" s="11" t="s">
        <v>190</v>
      </c>
      <c r="L148" s="11"/>
      <c r="M148" s="11"/>
      <c r="N148" s="11"/>
      <c r="O148" s="11"/>
      <c r="P148" s="12">
        <v>45805</v>
      </c>
      <c r="Q148" s="11"/>
      <c r="R148" s="11">
        <f t="shared" si="2"/>
        <v>225</v>
      </c>
      <c r="S148" s="11">
        <v>15</v>
      </c>
      <c r="T148" s="11">
        <v>15</v>
      </c>
    </row>
    <row r="149" spans="1:20" ht="14.25" customHeight="1" x14ac:dyDescent="0.2">
      <c r="A149" s="6">
        <v>23</v>
      </c>
      <c r="B149" s="7" t="s">
        <v>148</v>
      </c>
      <c r="C149" s="13" t="s">
        <v>191</v>
      </c>
      <c r="D149" s="11" t="s">
        <v>24</v>
      </c>
      <c r="E149" s="11" t="s">
        <v>25</v>
      </c>
      <c r="F149" s="6" t="s">
        <v>192</v>
      </c>
      <c r="G149" s="11" t="s">
        <v>180</v>
      </c>
      <c r="H149" s="11" t="s">
        <v>27</v>
      </c>
      <c r="I149" s="11">
        <v>29.136278999999998</v>
      </c>
      <c r="J149" s="11">
        <v>76.675149000000005</v>
      </c>
      <c r="K149" s="11" t="s">
        <v>193</v>
      </c>
      <c r="L149" s="11"/>
      <c r="M149" s="11"/>
      <c r="N149" s="11"/>
      <c r="O149" s="11"/>
      <c r="P149" s="12">
        <v>45806</v>
      </c>
      <c r="Q149" s="11"/>
      <c r="R149" s="11">
        <f t="shared" si="2"/>
        <v>1098</v>
      </c>
      <c r="S149" s="11">
        <v>61</v>
      </c>
      <c r="T149" s="11">
        <v>18</v>
      </c>
    </row>
    <row r="150" spans="1:20" ht="14.25" customHeight="1" x14ac:dyDescent="0.2">
      <c r="A150" s="6"/>
      <c r="B150" s="7"/>
      <c r="C150" s="13"/>
      <c r="D150" s="11" t="s">
        <v>24</v>
      </c>
      <c r="E150" s="11" t="s">
        <v>25</v>
      </c>
      <c r="F150" s="6"/>
      <c r="G150" s="11" t="s">
        <v>180</v>
      </c>
      <c r="H150" s="11" t="s">
        <v>27</v>
      </c>
      <c r="I150" s="11">
        <v>29.129688000000002</v>
      </c>
      <c r="J150" s="11">
        <v>76.678607999999997</v>
      </c>
      <c r="K150" s="11" t="s">
        <v>194</v>
      </c>
      <c r="L150" s="11"/>
      <c r="M150" s="11"/>
      <c r="N150" s="11"/>
      <c r="O150" s="11"/>
      <c r="P150" s="12">
        <v>45806</v>
      </c>
      <c r="Q150" s="11"/>
      <c r="R150" s="11">
        <f t="shared" si="2"/>
        <v>954</v>
      </c>
      <c r="S150" s="11">
        <v>53</v>
      </c>
      <c r="T150" s="11">
        <v>18</v>
      </c>
    </row>
    <row r="151" spans="1:20" ht="14.25" customHeight="1" x14ac:dyDescent="0.2">
      <c r="A151" s="6"/>
      <c r="B151" s="7"/>
      <c r="C151" s="13"/>
      <c r="D151" s="11" t="s">
        <v>24</v>
      </c>
      <c r="E151" s="11" t="s">
        <v>25</v>
      </c>
      <c r="F151" s="6"/>
      <c r="G151" s="11" t="s">
        <v>180</v>
      </c>
      <c r="H151" s="11" t="s">
        <v>27</v>
      </c>
      <c r="I151" s="11">
        <v>29.129688000000002</v>
      </c>
      <c r="J151" s="11">
        <v>76.678607999999997</v>
      </c>
      <c r="K151" s="11" t="s">
        <v>194</v>
      </c>
      <c r="L151" s="11"/>
      <c r="M151" s="11"/>
      <c r="N151" s="11"/>
      <c r="O151" s="11"/>
      <c r="P151" s="12">
        <v>45806</v>
      </c>
      <c r="Q151" s="11"/>
      <c r="R151" s="11">
        <f t="shared" si="2"/>
        <v>59.5</v>
      </c>
      <c r="S151" s="11">
        <v>8.5</v>
      </c>
      <c r="T151" s="11">
        <v>7</v>
      </c>
    </row>
    <row r="152" spans="1:20" ht="14.25" customHeight="1" x14ac:dyDescent="0.2">
      <c r="A152" s="6"/>
      <c r="B152" s="7"/>
      <c r="C152" s="13"/>
      <c r="D152" s="11" t="s">
        <v>24</v>
      </c>
      <c r="E152" s="11" t="s">
        <v>25</v>
      </c>
      <c r="F152" s="6"/>
      <c r="G152" s="11" t="s">
        <v>180</v>
      </c>
      <c r="H152" s="11" t="s">
        <v>27</v>
      </c>
      <c r="I152" s="11">
        <v>29.129662</v>
      </c>
      <c r="J152" s="11">
        <v>76.678600000000003</v>
      </c>
      <c r="K152" s="11" t="s">
        <v>195</v>
      </c>
      <c r="L152" s="11"/>
      <c r="M152" s="11"/>
      <c r="N152" s="11"/>
      <c r="O152" s="11"/>
      <c r="P152" s="12">
        <v>45806</v>
      </c>
      <c r="Q152" s="11"/>
      <c r="R152" s="11">
        <f t="shared" si="2"/>
        <v>221</v>
      </c>
      <c r="S152" s="11">
        <v>17</v>
      </c>
      <c r="T152" s="11">
        <v>13</v>
      </c>
    </row>
    <row r="153" spans="1:20" ht="14.25" customHeight="1" x14ac:dyDescent="0.2">
      <c r="A153" s="6">
        <v>24</v>
      </c>
      <c r="B153" s="7"/>
      <c r="C153" s="13"/>
      <c r="D153" s="11" t="s">
        <v>24</v>
      </c>
      <c r="E153" s="11" t="s">
        <v>25</v>
      </c>
      <c r="F153" s="6"/>
      <c r="G153" s="11" t="s">
        <v>180</v>
      </c>
      <c r="H153" s="11" t="s">
        <v>27</v>
      </c>
      <c r="I153" s="11">
        <v>29.142120999999999</v>
      </c>
      <c r="J153" s="11">
        <v>76.680789000000004</v>
      </c>
      <c r="K153" s="11" t="s">
        <v>196</v>
      </c>
      <c r="L153" s="11"/>
      <c r="M153" s="11"/>
      <c r="N153" s="11"/>
      <c r="O153" s="11"/>
      <c r="P153" s="12">
        <v>45806</v>
      </c>
      <c r="Q153" s="11"/>
      <c r="R153" s="11">
        <f t="shared" si="2"/>
        <v>1148</v>
      </c>
      <c r="S153" s="11">
        <v>82</v>
      </c>
      <c r="T153" s="11">
        <v>14</v>
      </c>
    </row>
    <row r="154" spans="1:20" ht="14.25" customHeight="1" x14ac:dyDescent="0.2">
      <c r="A154" s="6">
        <v>24</v>
      </c>
      <c r="B154" s="7" t="s">
        <v>148</v>
      </c>
      <c r="C154" s="13" t="s">
        <v>197</v>
      </c>
      <c r="D154" s="11" t="s">
        <v>185</v>
      </c>
      <c r="E154" s="11" t="s">
        <v>50</v>
      </c>
      <c r="F154" s="6" t="s">
        <v>198</v>
      </c>
      <c r="G154" s="11" t="s">
        <v>180</v>
      </c>
      <c r="H154" s="11" t="s">
        <v>27</v>
      </c>
      <c r="I154" s="11">
        <v>28.965957</v>
      </c>
      <c r="J154" s="11">
        <v>76.306709999999995</v>
      </c>
      <c r="K154" s="11" t="s">
        <v>199</v>
      </c>
      <c r="L154" s="11"/>
      <c r="M154" s="11"/>
      <c r="N154" s="11"/>
      <c r="O154" s="11"/>
      <c r="P154" s="12">
        <v>45807</v>
      </c>
      <c r="Q154" s="11"/>
      <c r="R154" s="11">
        <f t="shared" si="2"/>
        <v>1200</v>
      </c>
      <c r="S154" s="11">
        <v>80</v>
      </c>
      <c r="T154" s="11">
        <v>15</v>
      </c>
    </row>
    <row r="155" spans="1:20" ht="14.25" customHeight="1" x14ac:dyDescent="0.2">
      <c r="A155" s="6"/>
      <c r="B155" s="7"/>
      <c r="C155" s="13"/>
      <c r="D155" s="11"/>
      <c r="E155" s="11"/>
      <c r="F155" s="6"/>
      <c r="G155" s="11"/>
      <c r="H155" s="11"/>
      <c r="I155" s="11"/>
      <c r="J155" s="11"/>
      <c r="K155" s="11"/>
      <c r="L155" s="11"/>
      <c r="M155" s="11"/>
      <c r="N155" s="11"/>
      <c r="O155" s="11"/>
      <c r="P155" s="12"/>
      <c r="Q155" s="11"/>
      <c r="R155" s="11">
        <f t="shared" si="2"/>
        <v>156</v>
      </c>
      <c r="S155" s="11">
        <v>13</v>
      </c>
      <c r="T155" s="11">
        <v>12</v>
      </c>
    </row>
    <row r="156" spans="1:20" ht="14.25" customHeight="1" x14ac:dyDescent="0.2">
      <c r="A156" s="6"/>
      <c r="B156" s="7"/>
      <c r="C156" s="13"/>
      <c r="D156" s="11" t="s">
        <v>185</v>
      </c>
      <c r="E156" s="11" t="s">
        <v>50</v>
      </c>
      <c r="F156" s="6"/>
      <c r="G156" s="11" t="s">
        <v>180</v>
      </c>
      <c r="H156" s="11" t="s">
        <v>27</v>
      </c>
      <c r="I156" s="11">
        <v>28.964188</v>
      </c>
      <c r="J156" s="11">
        <v>76.305728000000002</v>
      </c>
      <c r="K156" s="11" t="s">
        <v>200</v>
      </c>
      <c r="L156" s="11" t="s">
        <v>201</v>
      </c>
      <c r="M156" s="11"/>
      <c r="N156" s="11"/>
      <c r="O156" s="11"/>
      <c r="P156" s="12">
        <v>45807</v>
      </c>
      <c r="Q156" s="11"/>
      <c r="R156" s="11">
        <f t="shared" si="2"/>
        <v>182</v>
      </c>
      <c r="S156" s="11">
        <v>13</v>
      </c>
      <c r="T156" s="11">
        <v>14</v>
      </c>
    </row>
    <row r="157" spans="1:20" ht="14.25" customHeight="1" x14ac:dyDescent="0.2">
      <c r="A157" s="6"/>
      <c r="B157" s="7"/>
      <c r="C157" s="13"/>
      <c r="D157" s="11"/>
      <c r="E157" s="11"/>
      <c r="F157" s="6"/>
      <c r="G157" s="11"/>
      <c r="H157" s="11"/>
      <c r="I157" s="11"/>
      <c r="J157" s="11"/>
      <c r="K157" s="11"/>
      <c r="L157" s="11"/>
      <c r="M157" s="11"/>
      <c r="N157" s="11"/>
      <c r="O157" s="11"/>
      <c r="P157" s="12"/>
      <c r="Q157" s="11"/>
      <c r="R157" s="11">
        <f t="shared" si="2"/>
        <v>72</v>
      </c>
      <c r="S157" s="11">
        <v>9</v>
      </c>
      <c r="T157" s="11">
        <v>8</v>
      </c>
    </row>
    <row r="158" spans="1:20" ht="14.25" customHeight="1" x14ac:dyDescent="0.2">
      <c r="A158" s="6"/>
      <c r="B158" s="7"/>
      <c r="C158" s="13"/>
      <c r="D158" s="11" t="s">
        <v>185</v>
      </c>
      <c r="E158" s="11" t="s">
        <v>50</v>
      </c>
      <c r="F158" s="6"/>
      <c r="G158" s="11" t="s">
        <v>180</v>
      </c>
      <c r="H158" s="11" t="s">
        <v>27</v>
      </c>
      <c r="I158" s="11">
        <v>28.964789</v>
      </c>
      <c r="J158" s="11">
        <v>76.304447999999994</v>
      </c>
      <c r="K158" s="11" t="s">
        <v>202</v>
      </c>
      <c r="L158" s="11"/>
      <c r="M158" s="11"/>
      <c r="N158" s="11"/>
      <c r="O158" s="11"/>
      <c r="P158" s="12">
        <v>45807</v>
      </c>
      <c r="Q158" s="11"/>
      <c r="R158" s="11">
        <f t="shared" si="2"/>
        <v>666</v>
      </c>
      <c r="S158" s="11">
        <v>111</v>
      </c>
      <c r="T158" s="11">
        <v>6</v>
      </c>
    </row>
    <row r="159" spans="1:20" ht="14.25" customHeight="1" x14ac:dyDescent="0.2">
      <c r="A159" s="6"/>
      <c r="B159" s="7"/>
      <c r="C159" s="13"/>
      <c r="D159" s="11" t="s">
        <v>185</v>
      </c>
      <c r="E159" s="11" t="s">
        <v>50</v>
      </c>
      <c r="F159" s="6"/>
      <c r="G159" s="11" t="s">
        <v>180</v>
      </c>
      <c r="H159" s="11" t="s">
        <v>27</v>
      </c>
      <c r="I159" s="11">
        <v>28.973549999999999</v>
      </c>
      <c r="J159" s="11">
        <v>76305311</v>
      </c>
      <c r="K159" s="11" t="s">
        <v>203</v>
      </c>
      <c r="L159" s="11"/>
      <c r="M159" s="11"/>
      <c r="N159" s="11"/>
      <c r="O159" s="11"/>
      <c r="P159" s="12">
        <v>45808</v>
      </c>
      <c r="Q159" s="11"/>
      <c r="R159" s="11">
        <f t="shared" si="2"/>
        <v>1188</v>
      </c>
      <c r="S159" s="11">
        <v>108</v>
      </c>
      <c r="T159" s="11">
        <v>11</v>
      </c>
    </row>
    <row r="160" spans="1:20" ht="14.25" customHeight="1" x14ac:dyDescent="0.2">
      <c r="A160" s="6"/>
      <c r="B160" s="7"/>
      <c r="C160" s="13"/>
      <c r="D160" s="11" t="s">
        <v>185</v>
      </c>
      <c r="E160" s="11" t="s">
        <v>50</v>
      </c>
      <c r="F160" s="6"/>
      <c r="G160" s="11" t="s">
        <v>180</v>
      </c>
      <c r="H160" s="11" t="s">
        <v>27</v>
      </c>
      <c r="I160" s="11">
        <v>28.965091000000001</v>
      </c>
      <c r="J160" s="11">
        <v>76.300456999999994</v>
      </c>
      <c r="K160" s="11" t="s">
        <v>204</v>
      </c>
      <c r="L160" s="11"/>
      <c r="M160" s="11"/>
      <c r="N160" s="11"/>
      <c r="O160" s="11"/>
      <c r="P160" s="12">
        <v>45808</v>
      </c>
      <c r="Q160" s="11"/>
      <c r="R160" s="11">
        <f t="shared" si="2"/>
        <v>247</v>
      </c>
      <c r="S160" s="11">
        <v>19</v>
      </c>
      <c r="T160" s="11">
        <v>13</v>
      </c>
    </row>
    <row r="161" spans="1:20" ht="14.25" customHeight="1" x14ac:dyDescent="0.2">
      <c r="A161" s="6"/>
      <c r="B161" s="7"/>
      <c r="C161" s="13"/>
      <c r="D161" s="11" t="s">
        <v>185</v>
      </c>
      <c r="E161" s="11" t="s">
        <v>50</v>
      </c>
      <c r="F161" s="6"/>
      <c r="G161" s="11" t="s">
        <v>180</v>
      </c>
      <c r="H161" s="11" t="s">
        <v>27</v>
      </c>
      <c r="I161" s="11">
        <v>28.965091000000001</v>
      </c>
      <c r="J161" s="11">
        <v>76.300456999999994</v>
      </c>
      <c r="K161" s="11" t="s">
        <v>204</v>
      </c>
      <c r="L161" s="11"/>
      <c r="M161" s="11"/>
      <c r="N161" s="11"/>
      <c r="O161" s="11"/>
      <c r="P161" s="12">
        <v>45808</v>
      </c>
      <c r="Q161" s="11"/>
      <c r="R161" s="11">
        <f t="shared" si="2"/>
        <v>56</v>
      </c>
      <c r="S161" s="11">
        <v>8</v>
      </c>
      <c r="T161" s="11">
        <v>7</v>
      </c>
    </row>
    <row r="162" spans="1:20" ht="14.25" customHeight="1" x14ac:dyDescent="0.2">
      <c r="A162" s="6"/>
      <c r="B162" s="7"/>
      <c r="C162" s="13"/>
      <c r="D162" s="11" t="s">
        <v>185</v>
      </c>
      <c r="E162" s="11" t="s">
        <v>50</v>
      </c>
      <c r="F162" s="6"/>
      <c r="G162" s="11" t="s">
        <v>180</v>
      </c>
      <c r="H162" s="11" t="s">
        <v>27</v>
      </c>
      <c r="I162" s="11">
        <v>28.964971999999999</v>
      </c>
      <c r="J162" s="11">
        <v>76.300341000000003</v>
      </c>
      <c r="K162" s="11" t="s">
        <v>205</v>
      </c>
      <c r="L162" s="11" t="s">
        <v>201</v>
      </c>
      <c r="M162" s="11"/>
      <c r="N162" s="11"/>
      <c r="O162" s="11"/>
      <c r="P162" s="12">
        <v>45808</v>
      </c>
      <c r="Q162" s="11"/>
      <c r="R162" s="11">
        <f t="shared" si="2"/>
        <v>176</v>
      </c>
      <c r="S162" s="11">
        <v>16</v>
      </c>
      <c r="T162" s="11">
        <v>11</v>
      </c>
    </row>
    <row r="163" spans="1:20" ht="14.25" customHeight="1" x14ac:dyDescent="0.2">
      <c r="A163" s="6">
        <v>25</v>
      </c>
      <c r="B163" s="7" t="s">
        <v>148</v>
      </c>
      <c r="C163" s="8" t="s">
        <v>206</v>
      </c>
      <c r="D163" s="11" t="s">
        <v>185</v>
      </c>
      <c r="E163" s="11" t="s">
        <v>138</v>
      </c>
      <c r="F163" s="6" t="s">
        <v>207</v>
      </c>
      <c r="G163" s="11" t="s">
        <v>180</v>
      </c>
      <c r="H163" s="11" t="s">
        <v>27</v>
      </c>
      <c r="I163" s="11">
        <v>29.128617999999999</v>
      </c>
      <c r="J163" s="11">
        <v>75.711067</v>
      </c>
      <c r="K163" s="11" t="s">
        <v>208</v>
      </c>
      <c r="L163" s="11"/>
      <c r="M163" s="11"/>
      <c r="N163" s="11"/>
      <c r="O163" s="11"/>
      <c r="P163" s="12">
        <v>45809</v>
      </c>
      <c r="Q163" s="11"/>
      <c r="R163" s="11">
        <f t="shared" si="2"/>
        <v>1100</v>
      </c>
      <c r="S163" s="11">
        <v>50</v>
      </c>
      <c r="T163" s="11">
        <v>22</v>
      </c>
    </row>
    <row r="164" spans="1:20" ht="14.25" customHeight="1" x14ac:dyDescent="0.2">
      <c r="A164" s="6"/>
      <c r="B164" s="7"/>
      <c r="C164" s="8"/>
      <c r="D164" s="11" t="s">
        <v>185</v>
      </c>
      <c r="E164" s="11" t="s">
        <v>138</v>
      </c>
      <c r="F164" s="6"/>
      <c r="G164" s="11" t="s">
        <v>180</v>
      </c>
      <c r="H164" s="11" t="s">
        <v>27</v>
      </c>
      <c r="I164" s="11">
        <v>29.128617999999999</v>
      </c>
      <c r="J164" s="11">
        <v>75.711067</v>
      </c>
      <c r="Q164" s="11"/>
      <c r="R164" s="11">
        <f t="shared" si="2"/>
        <v>90</v>
      </c>
      <c r="S164" s="11">
        <v>15</v>
      </c>
      <c r="T164" s="11">
        <v>6</v>
      </c>
    </row>
    <row r="165" spans="1:20" ht="14.25" customHeight="1" x14ac:dyDescent="0.2">
      <c r="A165" s="6"/>
      <c r="B165" s="7"/>
      <c r="C165" s="8"/>
      <c r="D165" s="11" t="s">
        <v>185</v>
      </c>
      <c r="E165" s="11" t="s">
        <v>138</v>
      </c>
      <c r="F165" s="6"/>
      <c r="G165" s="11" t="s">
        <v>180</v>
      </c>
      <c r="H165" s="11" t="s">
        <v>27</v>
      </c>
      <c r="I165" s="11">
        <v>29.128298000000001</v>
      </c>
      <c r="J165" s="11">
        <v>75.711123999999998</v>
      </c>
      <c r="K165" s="11" t="s">
        <v>209</v>
      </c>
      <c r="L165" s="11"/>
      <c r="M165" s="11"/>
      <c r="N165" s="11"/>
      <c r="O165" s="11"/>
      <c r="P165" s="12">
        <v>45809</v>
      </c>
      <c r="Q165" s="11"/>
      <c r="R165" s="11">
        <f t="shared" si="2"/>
        <v>1100</v>
      </c>
      <c r="S165" s="11">
        <v>50</v>
      </c>
      <c r="T165" s="11">
        <v>22</v>
      </c>
    </row>
    <row r="166" spans="1:20" ht="14.25" customHeight="1" x14ac:dyDescent="0.2">
      <c r="A166" s="6"/>
      <c r="B166" s="7"/>
      <c r="C166" s="8"/>
      <c r="D166" s="11" t="s">
        <v>185</v>
      </c>
      <c r="E166" s="11" t="s">
        <v>138</v>
      </c>
      <c r="F166" s="6"/>
      <c r="G166" s="11" t="s">
        <v>180</v>
      </c>
      <c r="H166" s="11" t="s">
        <v>27</v>
      </c>
      <c r="I166" s="11">
        <v>29.128298000000001</v>
      </c>
      <c r="J166" s="11">
        <v>75.711123999999998</v>
      </c>
      <c r="K166" s="11" t="s">
        <v>209</v>
      </c>
      <c r="L166" s="11"/>
      <c r="M166" s="11"/>
      <c r="N166" s="11"/>
      <c r="O166" s="11"/>
      <c r="P166" s="12">
        <v>45809</v>
      </c>
      <c r="Q166" s="11"/>
      <c r="R166" s="11">
        <f t="shared" si="2"/>
        <v>77</v>
      </c>
      <c r="S166" s="11">
        <v>11</v>
      </c>
      <c r="T166" s="11">
        <v>7</v>
      </c>
    </row>
    <row r="167" spans="1:20" ht="14.25" customHeight="1" x14ac:dyDescent="0.2">
      <c r="A167" s="6"/>
      <c r="B167" s="7"/>
      <c r="C167" s="8"/>
      <c r="D167" s="11" t="s">
        <v>185</v>
      </c>
      <c r="E167" s="11" t="s">
        <v>138</v>
      </c>
      <c r="F167" s="6"/>
      <c r="G167" s="11" t="s">
        <v>180</v>
      </c>
      <c r="H167" s="11" t="s">
        <v>27</v>
      </c>
      <c r="I167" s="11">
        <v>29.12452</v>
      </c>
      <c r="J167" s="11">
        <v>75.741078999999999</v>
      </c>
      <c r="K167" s="11" t="s">
        <v>210</v>
      </c>
      <c r="L167" s="11"/>
      <c r="M167" s="11"/>
      <c r="N167" s="11"/>
      <c r="O167" s="11"/>
      <c r="P167" s="12">
        <v>45809</v>
      </c>
      <c r="Q167" s="11"/>
      <c r="R167" s="11">
        <f t="shared" si="2"/>
        <v>345</v>
      </c>
      <c r="S167" s="11">
        <v>30</v>
      </c>
      <c r="T167" s="11">
        <v>11.5</v>
      </c>
    </row>
    <row r="168" spans="1:20" ht="14.25" customHeight="1" x14ac:dyDescent="0.2">
      <c r="A168" s="6"/>
      <c r="B168" s="7"/>
      <c r="C168" s="8"/>
      <c r="D168" s="11" t="s">
        <v>185</v>
      </c>
      <c r="E168" s="11" t="s">
        <v>138</v>
      </c>
      <c r="F168" s="6"/>
      <c r="G168" s="11" t="s">
        <v>180</v>
      </c>
      <c r="H168" s="11" t="s">
        <v>27</v>
      </c>
      <c r="I168" s="11">
        <v>29.1244367</v>
      </c>
      <c r="J168" s="11">
        <v>75.741157999999999</v>
      </c>
      <c r="K168" s="11" t="s">
        <v>211</v>
      </c>
      <c r="L168" s="11"/>
      <c r="M168" s="11"/>
      <c r="N168" s="11"/>
      <c r="O168" s="11"/>
      <c r="P168" s="12">
        <v>45809</v>
      </c>
      <c r="Q168" s="11"/>
      <c r="R168" s="11">
        <f t="shared" si="2"/>
        <v>1276</v>
      </c>
      <c r="S168" s="11">
        <v>58</v>
      </c>
      <c r="T168" s="11">
        <v>22</v>
      </c>
    </row>
    <row r="169" spans="1:20" ht="14.25" customHeight="1" x14ac:dyDescent="0.2">
      <c r="A169" s="6"/>
      <c r="B169" s="7"/>
      <c r="C169" s="8"/>
      <c r="D169" s="11" t="s">
        <v>185</v>
      </c>
      <c r="E169" s="11" t="s">
        <v>138</v>
      </c>
      <c r="F169" s="6"/>
      <c r="G169" s="11" t="s">
        <v>180</v>
      </c>
      <c r="H169" s="11" t="s">
        <v>27</v>
      </c>
      <c r="I169" s="11">
        <v>29.124316</v>
      </c>
      <c r="J169" s="11">
        <v>75.741438000000002</v>
      </c>
      <c r="K169" s="11" t="s">
        <v>211</v>
      </c>
      <c r="L169" s="11"/>
      <c r="M169" s="11"/>
      <c r="N169" s="11"/>
      <c r="O169" s="11"/>
      <c r="P169" s="12">
        <v>45809</v>
      </c>
      <c r="Q169" s="11"/>
      <c r="R169" s="11">
        <f t="shared" si="2"/>
        <v>300</v>
      </c>
      <c r="S169" s="11">
        <v>30</v>
      </c>
      <c r="T169" s="11">
        <v>10</v>
      </c>
    </row>
    <row r="170" spans="1:20" ht="14.25" customHeight="1" x14ac:dyDescent="0.2">
      <c r="A170" s="6"/>
      <c r="B170" s="7"/>
      <c r="C170" s="8"/>
      <c r="D170" s="11" t="s">
        <v>185</v>
      </c>
      <c r="E170" s="11" t="s">
        <v>138</v>
      </c>
      <c r="F170" s="6"/>
      <c r="G170" s="11" t="s">
        <v>180</v>
      </c>
      <c r="H170" s="11" t="s">
        <v>27</v>
      </c>
      <c r="I170" s="11">
        <v>29.124316</v>
      </c>
      <c r="J170" s="11">
        <v>75.741438000000002</v>
      </c>
      <c r="K170" s="11" t="s">
        <v>211</v>
      </c>
      <c r="L170" s="11"/>
      <c r="M170" s="11"/>
      <c r="N170" s="11"/>
      <c r="O170" s="11"/>
      <c r="P170" s="12">
        <v>45809</v>
      </c>
      <c r="Q170" s="11"/>
      <c r="R170" s="11">
        <f t="shared" si="2"/>
        <v>115</v>
      </c>
      <c r="S170" s="11">
        <v>10</v>
      </c>
      <c r="T170" s="11">
        <v>11.5</v>
      </c>
    </row>
    <row r="171" spans="1:20" ht="14.25" customHeight="1" x14ac:dyDescent="0.2">
      <c r="A171" s="6"/>
      <c r="B171" s="7"/>
      <c r="C171" s="8"/>
      <c r="D171" s="11"/>
      <c r="E171" s="11"/>
      <c r="F171" s="6"/>
      <c r="G171" s="11"/>
      <c r="H171" s="11"/>
      <c r="I171" s="11"/>
      <c r="J171" s="11"/>
      <c r="K171" s="11"/>
      <c r="L171" s="11"/>
      <c r="M171" s="11"/>
      <c r="N171" s="11"/>
      <c r="O171" s="11"/>
      <c r="P171" s="12"/>
      <c r="Q171" s="11"/>
      <c r="R171" s="11">
        <f t="shared" si="2"/>
        <v>80</v>
      </c>
      <c r="S171" s="11">
        <v>10</v>
      </c>
      <c r="T171" s="11">
        <v>8</v>
      </c>
    </row>
    <row r="172" spans="1:20" ht="14.25" customHeight="1" x14ac:dyDescent="0.2">
      <c r="A172" s="6">
        <v>26</v>
      </c>
      <c r="B172" s="7" t="s">
        <v>148</v>
      </c>
      <c r="C172" s="8" t="s">
        <v>212</v>
      </c>
      <c r="D172" s="11" t="s">
        <v>24</v>
      </c>
      <c r="E172" s="11" t="s">
        <v>213</v>
      </c>
      <c r="F172" s="6" t="s">
        <v>214</v>
      </c>
      <c r="G172" s="11" t="s">
        <v>180</v>
      </c>
      <c r="H172" s="11" t="s">
        <v>27</v>
      </c>
      <c r="I172" s="11">
        <v>29.49708</v>
      </c>
      <c r="J172" s="11">
        <v>75.454119000000006</v>
      </c>
      <c r="K172" s="11" t="s">
        <v>215</v>
      </c>
      <c r="L172" s="11"/>
      <c r="M172" s="11"/>
      <c r="N172" s="11"/>
      <c r="O172" s="11"/>
      <c r="P172" s="12">
        <v>45810</v>
      </c>
      <c r="Q172" s="11"/>
      <c r="R172" s="11">
        <f t="shared" si="2"/>
        <v>1700</v>
      </c>
      <c r="S172" s="11">
        <v>170</v>
      </c>
      <c r="T172" s="11">
        <v>10</v>
      </c>
    </row>
    <row r="173" spans="1:20" ht="14.25" customHeight="1" x14ac:dyDescent="0.2">
      <c r="A173" s="6"/>
      <c r="B173" s="7"/>
      <c r="C173" s="8"/>
      <c r="D173" s="11" t="s">
        <v>24</v>
      </c>
      <c r="E173" s="11" t="s">
        <v>213</v>
      </c>
      <c r="F173" s="6"/>
      <c r="G173" s="11" t="s">
        <v>180</v>
      </c>
      <c r="H173" s="11" t="s">
        <v>27</v>
      </c>
      <c r="I173" s="11">
        <v>29.496661</v>
      </c>
      <c r="J173" s="11">
        <v>75.454136000000005</v>
      </c>
      <c r="K173" s="11" t="s">
        <v>216</v>
      </c>
      <c r="L173" s="11"/>
      <c r="M173" s="11"/>
      <c r="N173" s="11"/>
      <c r="O173" s="11"/>
      <c r="P173" s="12">
        <v>45810</v>
      </c>
      <c r="Q173" s="11"/>
      <c r="R173" s="11">
        <f t="shared" si="2"/>
        <v>195</v>
      </c>
      <c r="S173" s="11">
        <v>15</v>
      </c>
      <c r="T173" s="11">
        <v>13</v>
      </c>
    </row>
    <row r="174" spans="1:20" ht="14.25" customHeight="1" x14ac:dyDescent="0.2">
      <c r="A174" s="6"/>
      <c r="B174" s="7"/>
      <c r="C174" s="8"/>
      <c r="D174" s="11"/>
      <c r="E174" s="11"/>
      <c r="F174" s="6"/>
      <c r="G174" s="11"/>
      <c r="H174" s="11"/>
      <c r="I174" s="11"/>
      <c r="J174" s="11"/>
      <c r="K174" s="11"/>
      <c r="L174" s="11"/>
      <c r="M174" s="11"/>
      <c r="N174" s="11"/>
      <c r="O174" s="11"/>
      <c r="P174" s="12"/>
      <c r="Q174" s="11"/>
      <c r="R174" s="11">
        <f t="shared" si="2"/>
        <v>666</v>
      </c>
      <c r="S174" s="11">
        <v>111</v>
      </c>
      <c r="T174" s="11">
        <v>6</v>
      </c>
    </row>
    <row r="175" spans="1:20" ht="14.25" customHeight="1" x14ac:dyDescent="0.2">
      <c r="A175" s="6"/>
      <c r="B175" s="7"/>
      <c r="C175" s="8"/>
      <c r="D175" s="11" t="s">
        <v>24</v>
      </c>
      <c r="E175" s="11" t="s">
        <v>213</v>
      </c>
      <c r="F175" s="6"/>
      <c r="G175" s="11" t="s">
        <v>180</v>
      </c>
      <c r="H175" s="11" t="s">
        <v>27</v>
      </c>
      <c r="I175" s="11">
        <v>29.501199</v>
      </c>
      <c r="J175" s="11">
        <v>75.452359999999999</v>
      </c>
      <c r="K175" s="11" t="s">
        <v>217</v>
      </c>
      <c r="L175" s="11"/>
      <c r="M175" s="11"/>
      <c r="N175" s="11"/>
      <c r="O175" s="11"/>
      <c r="P175" s="12">
        <v>45811</v>
      </c>
      <c r="Q175" s="11"/>
      <c r="R175" s="11">
        <f t="shared" si="2"/>
        <v>1760</v>
      </c>
      <c r="S175" s="11">
        <v>80</v>
      </c>
      <c r="T175" s="11">
        <v>22</v>
      </c>
    </row>
    <row r="176" spans="1:20" ht="14.25" customHeight="1" x14ac:dyDescent="0.2">
      <c r="A176" s="6">
        <v>27</v>
      </c>
      <c r="B176" s="7" t="s">
        <v>148</v>
      </c>
      <c r="C176" s="13" t="s">
        <v>218</v>
      </c>
      <c r="D176" s="11" t="s">
        <v>24</v>
      </c>
      <c r="E176" s="11" t="s">
        <v>213</v>
      </c>
      <c r="F176" s="6" t="s">
        <v>219</v>
      </c>
      <c r="G176" s="11" t="s">
        <v>180</v>
      </c>
      <c r="H176" s="11" t="s">
        <v>27</v>
      </c>
      <c r="I176" s="11">
        <v>29.390291999999999</v>
      </c>
      <c r="J176" s="11">
        <v>75.339277999999993</v>
      </c>
      <c r="K176" s="11" t="s">
        <v>220</v>
      </c>
      <c r="L176" s="11"/>
      <c r="M176" s="11"/>
      <c r="N176" s="11"/>
      <c r="O176" s="11"/>
      <c r="P176" s="11" t="s">
        <v>146</v>
      </c>
      <c r="Q176" s="11"/>
      <c r="R176" s="11">
        <f t="shared" si="2"/>
        <v>90</v>
      </c>
      <c r="S176" s="11">
        <v>10</v>
      </c>
      <c r="T176" s="11">
        <v>9</v>
      </c>
    </row>
    <row r="177" spans="1:20" ht="14.25" customHeight="1" x14ac:dyDescent="0.2">
      <c r="A177" s="6"/>
      <c r="B177" s="7"/>
      <c r="C177" s="13"/>
      <c r="D177" s="11"/>
      <c r="E177" s="11"/>
      <c r="F177" s="6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>
        <f t="shared" si="2"/>
        <v>798</v>
      </c>
      <c r="S177" s="11">
        <v>38</v>
      </c>
      <c r="T177" s="11">
        <v>21</v>
      </c>
    </row>
    <row r="178" spans="1:20" ht="14.25" customHeight="1" x14ac:dyDescent="0.2">
      <c r="A178" s="6"/>
      <c r="B178" s="7"/>
      <c r="C178" s="13"/>
      <c r="D178" s="11"/>
      <c r="E178" s="11"/>
      <c r="F178" s="6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>
        <f t="shared" si="2"/>
        <v>78</v>
      </c>
      <c r="S178" s="11">
        <v>13</v>
      </c>
      <c r="T178" s="11">
        <v>6</v>
      </c>
    </row>
    <row r="179" spans="1:20" ht="14.25" customHeight="1" x14ac:dyDescent="0.2">
      <c r="A179" s="6"/>
      <c r="B179" s="7"/>
      <c r="C179" s="13"/>
      <c r="D179" s="11" t="s">
        <v>24</v>
      </c>
      <c r="E179" s="11" t="s">
        <v>154</v>
      </c>
      <c r="F179" s="6"/>
      <c r="G179" s="11" t="s">
        <v>0</v>
      </c>
      <c r="H179" s="11" t="s">
        <v>27</v>
      </c>
      <c r="I179" s="11">
        <v>29.372043999999999</v>
      </c>
      <c r="J179" s="11">
        <v>75.335284000000001</v>
      </c>
      <c r="K179" s="11" t="s">
        <v>221</v>
      </c>
      <c r="L179" s="11"/>
      <c r="M179" s="11"/>
      <c r="N179" s="11"/>
      <c r="O179" s="11"/>
      <c r="P179" s="11" t="s">
        <v>157</v>
      </c>
      <c r="Q179" s="11"/>
      <c r="R179" s="11">
        <f t="shared" si="2"/>
        <v>420</v>
      </c>
      <c r="S179" s="11">
        <v>28</v>
      </c>
      <c r="T179" s="11">
        <v>15</v>
      </c>
    </row>
    <row r="180" spans="1:20" ht="14.25" customHeight="1" x14ac:dyDescent="0.2">
      <c r="A180" s="6"/>
      <c r="B180" s="7"/>
      <c r="C180" s="13"/>
      <c r="D180" s="11" t="s">
        <v>24</v>
      </c>
      <c r="E180" s="11" t="s">
        <v>154</v>
      </c>
      <c r="F180" s="6"/>
      <c r="G180" s="11" t="s">
        <v>0</v>
      </c>
      <c r="H180" s="11" t="s">
        <v>27</v>
      </c>
      <c r="I180" s="11">
        <v>29.372313999999999</v>
      </c>
      <c r="J180" s="11">
        <v>75.335318999999998</v>
      </c>
      <c r="K180" s="11" t="s">
        <v>222</v>
      </c>
      <c r="L180" s="11"/>
      <c r="M180" s="11"/>
      <c r="N180" s="11"/>
      <c r="O180" s="11"/>
      <c r="P180" s="11" t="s">
        <v>157</v>
      </c>
      <c r="Q180" s="11"/>
      <c r="R180" s="11">
        <f t="shared" si="2"/>
        <v>420</v>
      </c>
      <c r="S180" s="11">
        <v>28</v>
      </c>
      <c r="T180" s="11">
        <v>15</v>
      </c>
    </row>
    <row r="181" spans="1:20" ht="14.25" customHeight="1" x14ac:dyDescent="0.2">
      <c r="A181" s="6"/>
      <c r="B181" s="7"/>
      <c r="C181" s="13"/>
      <c r="D181" s="11" t="s">
        <v>24</v>
      </c>
      <c r="E181" s="11" t="s">
        <v>154</v>
      </c>
      <c r="F181" s="6"/>
      <c r="G181" s="11" t="s">
        <v>0</v>
      </c>
      <c r="H181" s="11" t="s">
        <v>27</v>
      </c>
      <c r="I181" s="11">
        <v>29.383391</v>
      </c>
      <c r="J181" s="11">
        <v>75.338986000000006</v>
      </c>
      <c r="K181" s="11" t="s">
        <v>223</v>
      </c>
      <c r="L181" s="11"/>
      <c r="M181" s="11"/>
      <c r="N181" s="11"/>
      <c r="O181" s="11"/>
      <c r="P181" s="11" t="s">
        <v>157</v>
      </c>
      <c r="Q181" s="11"/>
      <c r="R181" s="11">
        <f t="shared" si="2"/>
        <v>640</v>
      </c>
      <c r="S181" s="11">
        <v>40</v>
      </c>
      <c r="T181" s="11">
        <v>16</v>
      </c>
    </row>
    <row r="182" spans="1:20" ht="14.25" customHeight="1" x14ac:dyDescent="0.2">
      <c r="A182" s="6"/>
      <c r="B182" s="6"/>
      <c r="C182" s="6"/>
      <c r="F182" s="6"/>
      <c r="Q182" s="11"/>
      <c r="R182" s="11">
        <f t="shared" si="2"/>
        <v>238</v>
      </c>
      <c r="S182" s="11">
        <v>28</v>
      </c>
      <c r="T182" s="11">
        <v>8.5</v>
      </c>
    </row>
    <row r="183" spans="1:20" ht="14.25" customHeight="1" x14ac:dyDescent="0.2">
      <c r="A183" s="6">
        <v>28</v>
      </c>
      <c r="B183" s="7" t="s">
        <v>148</v>
      </c>
      <c r="C183" s="8" t="s">
        <v>224</v>
      </c>
      <c r="D183" s="11" t="s">
        <v>24</v>
      </c>
      <c r="E183" s="11" t="s">
        <v>143</v>
      </c>
      <c r="F183" s="6" t="s">
        <v>225</v>
      </c>
      <c r="G183" s="11" t="s">
        <v>0</v>
      </c>
      <c r="H183" s="11" t="s">
        <v>27</v>
      </c>
      <c r="I183" s="11">
        <v>29.426431999999998</v>
      </c>
      <c r="J183" s="11">
        <v>74.718446</v>
      </c>
      <c r="K183" s="11" t="s">
        <v>226</v>
      </c>
      <c r="L183" s="11"/>
      <c r="M183" s="11"/>
      <c r="N183" s="11"/>
      <c r="O183" s="11"/>
      <c r="P183" s="11" t="s">
        <v>164</v>
      </c>
      <c r="Q183" s="11"/>
      <c r="R183" s="11">
        <f t="shared" si="2"/>
        <v>825</v>
      </c>
      <c r="S183" s="11">
        <v>55</v>
      </c>
      <c r="T183" s="11">
        <v>15</v>
      </c>
    </row>
    <row r="184" spans="1:20" ht="14.25" customHeight="1" x14ac:dyDescent="0.2">
      <c r="A184" s="6"/>
      <c r="B184" s="7"/>
      <c r="C184" s="8"/>
      <c r="D184" s="11" t="s">
        <v>24</v>
      </c>
      <c r="E184" s="11" t="s">
        <v>143</v>
      </c>
      <c r="F184" s="6"/>
      <c r="G184" s="11" t="s">
        <v>0</v>
      </c>
      <c r="H184" s="11" t="s">
        <v>27</v>
      </c>
      <c r="I184" s="11">
        <v>29.450682</v>
      </c>
      <c r="J184" s="11">
        <v>77.666573999999997</v>
      </c>
      <c r="K184" s="11" t="s">
        <v>227</v>
      </c>
      <c r="L184" s="11"/>
      <c r="M184" s="11"/>
      <c r="N184" s="11"/>
      <c r="O184" s="11"/>
      <c r="P184" s="11" t="s">
        <v>164</v>
      </c>
      <c r="Q184" s="11"/>
      <c r="R184" s="11">
        <f t="shared" si="2"/>
        <v>675</v>
      </c>
      <c r="S184" s="11">
        <v>45</v>
      </c>
      <c r="T184" s="11">
        <v>15</v>
      </c>
    </row>
    <row r="185" spans="1:20" ht="14.25" customHeight="1" x14ac:dyDescent="0.2">
      <c r="A185" s="6"/>
      <c r="B185" s="7"/>
      <c r="C185" s="8"/>
      <c r="D185" s="11" t="s">
        <v>24</v>
      </c>
      <c r="E185" s="11" t="s">
        <v>143</v>
      </c>
      <c r="F185" s="6"/>
      <c r="G185" s="11" t="s">
        <v>0</v>
      </c>
      <c r="H185" s="11" t="s">
        <v>27</v>
      </c>
      <c r="I185" s="11">
        <v>29.451015999999999</v>
      </c>
      <c r="J185" s="11">
        <v>74.672212999999999</v>
      </c>
      <c r="K185" s="11" t="s">
        <v>228</v>
      </c>
      <c r="L185" s="11"/>
      <c r="M185" s="11"/>
      <c r="N185" s="11"/>
      <c r="O185" s="11"/>
      <c r="P185" s="11" t="s">
        <v>166</v>
      </c>
      <c r="Q185" s="11"/>
      <c r="R185" s="11">
        <f t="shared" si="2"/>
        <v>954</v>
      </c>
      <c r="S185" s="11">
        <v>53</v>
      </c>
      <c r="T185" s="11">
        <v>18</v>
      </c>
    </row>
    <row r="186" spans="1:20" ht="14.25" customHeight="1" x14ac:dyDescent="0.2">
      <c r="A186" s="6"/>
      <c r="B186" s="7"/>
      <c r="C186" s="8"/>
      <c r="D186" s="11"/>
      <c r="E186" s="11"/>
      <c r="F186" s="6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>
        <f t="shared" si="2"/>
        <v>150</v>
      </c>
      <c r="S186" s="11">
        <v>20</v>
      </c>
      <c r="T186" s="11">
        <v>7.5</v>
      </c>
    </row>
    <row r="187" spans="1:20" ht="14.25" customHeight="1" x14ac:dyDescent="0.2">
      <c r="A187" s="6"/>
      <c r="B187" s="7"/>
      <c r="C187" s="8"/>
      <c r="D187" s="11" t="s">
        <v>24</v>
      </c>
      <c r="E187" s="11" t="s">
        <v>143</v>
      </c>
      <c r="F187" s="6"/>
      <c r="G187" s="11" t="s">
        <v>0</v>
      </c>
      <c r="H187" s="11" t="s">
        <v>27</v>
      </c>
      <c r="I187" s="11">
        <v>29.451103</v>
      </c>
      <c r="J187" s="11">
        <v>74.672250000000005</v>
      </c>
      <c r="K187" s="11" t="s">
        <v>229</v>
      </c>
      <c r="L187" s="11"/>
      <c r="M187" s="11"/>
      <c r="N187" s="11"/>
      <c r="O187" s="11"/>
      <c r="P187" s="11" t="s">
        <v>166</v>
      </c>
      <c r="Q187" s="11"/>
      <c r="R187" s="11">
        <f t="shared" si="2"/>
        <v>1100</v>
      </c>
      <c r="S187" s="11">
        <v>55</v>
      </c>
      <c r="T187" s="11">
        <v>20</v>
      </c>
    </row>
    <row r="188" spans="1:20" ht="14.25" customHeight="1" x14ac:dyDescent="0.2">
      <c r="A188" s="6"/>
      <c r="B188" s="7"/>
      <c r="C188" s="8"/>
      <c r="D188" s="11" t="s">
        <v>24</v>
      </c>
      <c r="E188" s="11" t="s">
        <v>143</v>
      </c>
      <c r="F188" s="6"/>
      <c r="G188" s="11" t="s">
        <v>0</v>
      </c>
      <c r="H188" s="11" t="s">
        <v>27</v>
      </c>
      <c r="I188" s="11">
        <v>29.430229000000001</v>
      </c>
      <c r="J188" s="11">
        <v>74.700406999999998</v>
      </c>
      <c r="K188" s="11" t="s">
        <v>230</v>
      </c>
      <c r="L188" s="11"/>
      <c r="M188" s="11"/>
      <c r="N188" s="11"/>
      <c r="O188" s="11"/>
      <c r="P188" s="11" t="s">
        <v>166</v>
      </c>
      <c r="Q188" s="11"/>
      <c r="R188" s="11">
        <f t="shared" si="2"/>
        <v>88</v>
      </c>
      <c r="S188" s="11">
        <v>11</v>
      </c>
      <c r="T188" s="11">
        <v>8</v>
      </c>
    </row>
    <row r="189" spans="1:20" ht="14.25" customHeight="1" x14ac:dyDescent="0.2">
      <c r="A189" s="6"/>
      <c r="B189" s="7"/>
      <c r="C189" s="8"/>
      <c r="D189" s="11"/>
      <c r="E189" s="11"/>
      <c r="F189" s="6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>
        <f t="shared" si="2"/>
        <v>160</v>
      </c>
      <c r="S189" s="11">
        <v>16</v>
      </c>
      <c r="T189" s="11">
        <v>10</v>
      </c>
    </row>
    <row r="190" spans="1:20" ht="14.25" customHeight="1" x14ac:dyDescent="0.2">
      <c r="A190" s="6"/>
      <c r="B190" s="7"/>
      <c r="C190" s="8"/>
      <c r="D190" s="11"/>
      <c r="E190" s="11"/>
      <c r="F190" s="6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>
        <f t="shared" si="2"/>
        <v>412.5</v>
      </c>
      <c r="S190" s="11">
        <v>55</v>
      </c>
      <c r="T190" s="11">
        <v>7.5</v>
      </c>
    </row>
    <row r="191" spans="1:20" ht="14.25" customHeight="1" x14ac:dyDescent="0.2">
      <c r="A191" s="6"/>
      <c r="B191" s="7"/>
      <c r="C191" s="8"/>
      <c r="D191" s="11" t="s">
        <v>24</v>
      </c>
      <c r="E191" s="11" t="s">
        <v>143</v>
      </c>
      <c r="F191" s="6"/>
      <c r="G191" s="11" t="s">
        <v>0</v>
      </c>
      <c r="H191" s="11" t="s">
        <v>27</v>
      </c>
      <c r="I191" s="11">
        <v>29.430575999999999</v>
      </c>
      <c r="J191" s="11">
        <v>77.700438000000005</v>
      </c>
      <c r="K191" s="11" t="s">
        <v>231</v>
      </c>
      <c r="L191" s="11"/>
      <c r="M191" s="11"/>
      <c r="N191" s="11"/>
      <c r="O191" s="11"/>
      <c r="P191" s="11" t="s">
        <v>166</v>
      </c>
      <c r="Q191" s="11"/>
      <c r="R191" s="11">
        <f t="shared" si="2"/>
        <v>195</v>
      </c>
      <c r="S191" s="11">
        <v>26</v>
      </c>
      <c r="T191" s="11">
        <v>7.5</v>
      </c>
    </row>
    <row r="192" spans="1:20" ht="14.25" customHeight="1" x14ac:dyDescent="0.2">
      <c r="A192" s="6">
        <v>29</v>
      </c>
      <c r="B192" s="7" t="s">
        <v>148</v>
      </c>
      <c r="C192" s="13" t="s">
        <v>232</v>
      </c>
      <c r="D192" s="11" t="s">
        <v>24</v>
      </c>
      <c r="E192" s="11" t="s">
        <v>69</v>
      </c>
      <c r="F192" s="6" t="s">
        <v>233</v>
      </c>
      <c r="G192" s="11" t="s">
        <v>0</v>
      </c>
      <c r="H192" s="11" t="s">
        <v>27</v>
      </c>
      <c r="I192" s="11">
        <v>28.435195</v>
      </c>
      <c r="J192" s="11">
        <v>77.045477000000005</v>
      </c>
      <c r="K192" s="11" t="s">
        <v>234</v>
      </c>
      <c r="L192" s="11"/>
      <c r="M192" s="11"/>
      <c r="N192" s="11"/>
      <c r="O192" s="11"/>
      <c r="P192" s="11" t="s">
        <v>166</v>
      </c>
      <c r="Q192" s="11"/>
      <c r="R192" s="11">
        <f t="shared" si="2"/>
        <v>282</v>
      </c>
      <c r="S192" s="11">
        <v>47</v>
      </c>
      <c r="T192" s="11">
        <v>6</v>
      </c>
    </row>
    <row r="193" spans="1:20" ht="14.25" customHeight="1" x14ac:dyDescent="0.2">
      <c r="A193" s="6"/>
      <c r="B193" s="7"/>
      <c r="C193" s="13"/>
      <c r="D193" s="11" t="s">
        <v>24</v>
      </c>
      <c r="E193" s="11" t="s">
        <v>69</v>
      </c>
      <c r="F193" s="6"/>
      <c r="G193" s="11" t="s">
        <v>0</v>
      </c>
      <c r="H193" s="11" t="s">
        <v>27</v>
      </c>
      <c r="I193" s="11">
        <v>28.43647</v>
      </c>
      <c r="J193" s="11">
        <v>77.075670000000002</v>
      </c>
      <c r="K193" s="11" t="s">
        <v>235</v>
      </c>
      <c r="L193" s="11"/>
      <c r="M193" s="11"/>
      <c r="N193" s="11"/>
      <c r="O193" s="11"/>
      <c r="P193" s="11" t="s">
        <v>166</v>
      </c>
      <c r="Q193" s="11"/>
      <c r="R193" s="11">
        <f t="shared" si="2"/>
        <v>135</v>
      </c>
      <c r="S193" s="11">
        <v>15</v>
      </c>
      <c r="T193" s="11">
        <v>9</v>
      </c>
    </row>
    <row r="194" spans="1:20" ht="14.25" customHeight="1" x14ac:dyDescent="0.2">
      <c r="A194" s="6"/>
      <c r="B194" s="7"/>
      <c r="C194" s="13"/>
      <c r="D194" s="11"/>
      <c r="E194" s="11"/>
      <c r="F194" s="6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>
        <f t="shared" si="2"/>
        <v>20</v>
      </c>
      <c r="S194" s="11">
        <v>4</v>
      </c>
      <c r="T194" s="11">
        <v>5</v>
      </c>
    </row>
    <row r="195" spans="1:20" ht="14.25" customHeight="1" x14ac:dyDescent="0.2">
      <c r="A195" s="6"/>
      <c r="B195" s="7"/>
      <c r="C195" s="13"/>
      <c r="D195" s="11" t="s">
        <v>24</v>
      </c>
      <c r="E195" s="11" t="s">
        <v>69</v>
      </c>
      <c r="F195" s="6"/>
      <c r="G195" s="11" t="s">
        <v>0</v>
      </c>
      <c r="H195" s="11" t="s">
        <v>27</v>
      </c>
      <c r="I195" s="11">
        <v>28.435606</v>
      </c>
      <c r="J195" s="11">
        <v>77.075714000000005</v>
      </c>
      <c r="K195" s="11" t="s">
        <v>236</v>
      </c>
      <c r="L195" s="11"/>
      <c r="M195" s="11"/>
      <c r="N195" s="11"/>
      <c r="O195" s="11"/>
      <c r="P195" s="11" t="s">
        <v>166</v>
      </c>
      <c r="Q195" s="11"/>
      <c r="R195" s="11">
        <f t="shared" ref="R195:R258" si="3">S195*T195</f>
        <v>330</v>
      </c>
      <c r="S195" s="11">
        <v>30</v>
      </c>
      <c r="T195" s="11">
        <v>11</v>
      </c>
    </row>
    <row r="196" spans="1:20" ht="14.25" customHeight="1" x14ac:dyDescent="0.2">
      <c r="A196" s="6"/>
      <c r="B196" s="7"/>
      <c r="C196" s="13"/>
      <c r="D196" s="11" t="s">
        <v>24</v>
      </c>
      <c r="E196" s="11" t="s">
        <v>69</v>
      </c>
      <c r="F196" s="6"/>
      <c r="G196" s="11" t="s">
        <v>0</v>
      </c>
      <c r="H196" s="11" t="s">
        <v>27</v>
      </c>
      <c r="I196" s="11">
        <v>28.434379</v>
      </c>
      <c r="J196" s="11">
        <v>77.075854000000007</v>
      </c>
      <c r="K196" s="11" t="s">
        <v>237</v>
      </c>
      <c r="L196" s="11"/>
      <c r="M196" s="11"/>
      <c r="N196" s="11"/>
      <c r="O196" s="11"/>
      <c r="P196" s="11" t="s">
        <v>238</v>
      </c>
      <c r="Q196" s="11"/>
      <c r="R196" s="11">
        <f t="shared" si="3"/>
        <v>960</v>
      </c>
      <c r="S196" s="11">
        <v>48</v>
      </c>
      <c r="T196" s="11">
        <v>20</v>
      </c>
    </row>
    <row r="197" spans="1:20" ht="14.25" customHeight="1" x14ac:dyDescent="0.2">
      <c r="A197" s="6"/>
      <c r="B197" s="7"/>
      <c r="C197" s="13"/>
      <c r="D197" s="11"/>
      <c r="E197" s="11"/>
      <c r="F197" s="6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>
        <f t="shared" si="3"/>
        <v>15</v>
      </c>
      <c r="S197" s="11">
        <v>5</v>
      </c>
      <c r="T197" s="11">
        <v>3</v>
      </c>
    </row>
    <row r="198" spans="1:20" ht="14.25" customHeight="1" x14ac:dyDescent="0.2">
      <c r="A198" s="6"/>
      <c r="B198" s="7"/>
      <c r="C198" s="13"/>
      <c r="D198" s="11" t="s">
        <v>24</v>
      </c>
      <c r="E198" s="11" t="s">
        <v>69</v>
      </c>
      <c r="F198" s="6"/>
      <c r="G198" s="11" t="s">
        <v>0</v>
      </c>
      <c r="H198" s="11" t="s">
        <v>27</v>
      </c>
      <c r="I198" s="11">
        <v>28.434369</v>
      </c>
      <c r="J198" s="11">
        <v>77.076199000000003</v>
      </c>
      <c r="K198" s="11" t="s">
        <v>239</v>
      </c>
      <c r="L198" s="11"/>
      <c r="M198" s="11"/>
      <c r="N198" s="11"/>
      <c r="O198" s="11"/>
      <c r="P198" s="11" t="s">
        <v>238</v>
      </c>
      <c r="Q198" s="11"/>
      <c r="R198" s="11">
        <f t="shared" si="3"/>
        <v>960</v>
      </c>
      <c r="S198" s="11">
        <v>48</v>
      </c>
      <c r="T198" s="11">
        <v>20</v>
      </c>
    </row>
    <row r="199" spans="1:20" ht="14.25" customHeight="1" x14ac:dyDescent="0.2">
      <c r="A199" s="6"/>
      <c r="B199" s="7"/>
      <c r="C199" s="13"/>
      <c r="D199" s="11" t="s">
        <v>24</v>
      </c>
      <c r="E199" s="11" t="s">
        <v>69</v>
      </c>
      <c r="F199" s="6"/>
      <c r="G199" s="11" t="s">
        <v>0</v>
      </c>
      <c r="H199" s="11" t="s">
        <v>27</v>
      </c>
      <c r="I199" s="11">
        <v>28.434656</v>
      </c>
      <c r="J199" s="11">
        <v>77.075766000000002</v>
      </c>
      <c r="K199" s="11" t="s">
        <v>240</v>
      </c>
      <c r="L199" s="11"/>
      <c r="M199" s="11"/>
      <c r="N199" s="11"/>
      <c r="O199" s="11"/>
      <c r="P199" s="11" t="s">
        <v>238</v>
      </c>
      <c r="Q199" s="11"/>
      <c r="R199" s="11">
        <f t="shared" si="3"/>
        <v>150</v>
      </c>
      <c r="S199" s="11">
        <v>25</v>
      </c>
      <c r="T199" s="11">
        <v>6</v>
      </c>
    </row>
    <row r="200" spans="1:20" ht="14.25" customHeight="1" x14ac:dyDescent="0.2">
      <c r="A200" s="6"/>
      <c r="B200" s="7"/>
      <c r="C200" s="13"/>
      <c r="D200" s="11" t="s">
        <v>24</v>
      </c>
      <c r="E200" s="11" t="s">
        <v>69</v>
      </c>
      <c r="F200" s="6"/>
      <c r="G200" s="11" t="s">
        <v>0</v>
      </c>
      <c r="H200" s="11" t="s">
        <v>27</v>
      </c>
      <c r="I200" s="11">
        <v>28.43751</v>
      </c>
      <c r="J200" s="11">
        <v>77.077656000000005</v>
      </c>
      <c r="K200" s="11" t="s">
        <v>241</v>
      </c>
      <c r="L200" s="11"/>
      <c r="M200" s="11"/>
      <c r="N200" s="11"/>
      <c r="O200" s="11"/>
      <c r="P200" s="11" t="s">
        <v>238</v>
      </c>
      <c r="Q200" s="11"/>
      <c r="R200" s="11">
        <f t="shared" si="3"/>
        <v>1100</v>
      </c>
      <c r="S200" s="11">
        <v>55</v>
      </c>
      <c r="T200" s="11">
        <v>20</v>
      </c>
    </row>
    <row r="201" spans="1:20" ht="14.25" customHeight="1" x14ac:dyDescent="0.2">
      <c r="A201" s="6"/>
      <c r="B201" s="7"/>
      <c r="C201" s="13"/>
      <c r="D201" s="11"/>
      <c r="E201" s="11"/>
      <c r="F201" s="6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>
        <f t="shared" si="3"/>
        <v>50</v>
      </c>
      <c r="S201" s="11">
        <v>5</v>
      </c>
      <c r="T201" s="11">
        <v>10</v>
      </c>
    </row>
    <row r="202" spans="1:20" ht="14.25" customHeight="1" x14ac:dyDescent="0.2">
      <c r="A202" s="6"/>
      <c r="B202" s="7"/>
      <c r="C202" s="13"/>
      <c r="D202" s="11"/>
      <c r="E202" s="11"/>
      <c r="F202" s="6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>
        <f t="shared" si="3"/>
        <v>35</v>
      </c>
      <c r="S202" s="11">
        <v>5</v>
      </c>
      <c r="T202" s="11">
        <v>7</v>
      </c>
    </row>
    <row r="203" spans="1:20" ht="14.25" customHeight="1" x14ac:dyDescent="0.2">
      <c r="A203" s="6"/>
      <c r="B203" s="7"/>
      <c r="C203" s="13"/>
      <c r="D203" s="11" t="s">
        <v>24</v>
      </c>
      <c r="E203" s="11" t="s">
        <v>69</v>
      </c>
      <c r="F203" s="6"/>
      <c r="G203" s="11" t="s">
        <v>0</v>
      </c>
      <c r="H203" s="11" t="s">
        <v>27</v>
      </c>
      <c r="I203" s="11">
        <v>28.437407</v>
      </c>
      <c r="J203" s="11">
        <v>77.077662000000004</v>
      </c>
      <c r="K203" s="11" t="s">
        <v>242</v>
      </c>
      <c r="L203" s="11"/>
      <c r="M203" s="11"/>
      <c r="N203" s="11"/>
      <c r="O203" s="11"/>
      <c r="P203" s="11" t="s">
        <v>243</v>
      </c>
      <c r="Q203" s="11"/>
      <c r="R203" s="11">
        <f t="shared" si="3"/>
        <v>1210</v>
      </c>
      <c r="S203" s="11">
        <v>55</v>
      </c>
      <c r="T203" s="11">
        <v>22</v>
      </c>
    </row>
    <row r="204" spans="1:20" ht="14.25" customHeight="1" x14ac:dyDescent="0.2">
      <c r="A204" s="6">
        <v>30</v>
      </c>
      <c r="B204" s="7" t="s">
        <v>148</v>
      </c>
      <c r="C204" s="8" t="s">
        <v>244</v>
      </c>
      <c r="D204" s="11" t="s">
        <v>24</v>
      </c>
      <c r="E204" s="11" t="s">
        <v>69</v>
      </c>
      <c r="F204" s="6" t="s">
        <v>233</v>
      </c>
      <c r="G204" s="11" t="s">
        <v>0</v>
      </c>
      <c r="H204" s="11" t="s">
        <v>27</v>
      </c>
      <c r="I204" s="11">
        <v>28.433759999999999</v>
      </c>
      <c r="J204" s="11">
        <v>77.075427000000005</v>
      </c>
      <c r="K204" s="11" t="s">
        <v>245</v>
      </c>
      <c r="L204" s="11"/>
      <c r="M204" s="11"/>
      <c r="N204" s="11"/>
      <c r="O204" s="11"/>
      <c r="P204" s="11" t="s">
        <v>243</v>
      </c>
      <c r="Q204" s="11"/>
      <c r="R204" s="11">
        <f t="shared" si="3"/>
        <v>120</v>
      </c>
      <c r="S204" s="11">
        <v>10</v>
      </c>
      <c r="T204" s="11">
        <v>12</v>
      </c>
    </row>
    <row r="205" spans="1:20" ht="14.25" customHeight="1" x14ac:dyDescent="0.2">
      <c r="A205" s="6"/>
      <c r="B205" s="7"/>
      <c r="C205" s="8"/>
      <c r="D205" s="11" t="s">
        <v>24</v>
      </c>
      <c r="E205" s="11" t="s">
        <v>69</v>
      </c>
      <c r="F205" s="6"/>
      <c r="G205" s="11" t="s">
        <v>0</v>
      </c>
      <c r="H205" s="11" t="s">
        <v>27</v>
      </c>
      <c r="I205" s="11">
        <v>28.433751000000001</v>
      </c>
      <c r="J205" s="11">
        <v>77.075507999999999</v>
      </c>
      <c r="K205" s="11" t="s">
        <v>246</v>
      </c>
      <c r="L205" s="11"/>
      <c r="M205" s="11"/>
      <c r="N205" s="11"/>
      <c r="O205" s="11"/>
      <c r="P205" s="11" t="s">
        <v>243</v>
      </c>
      <c r="Q205" s="11"/>
      <c r="R205" s="11">
        <f t="shared" si="3"/>
        <v>110</v>
      </c>
      <c r="S205" s="11">
        <v>11</v>
      </c>
      <c r="T205" s="11">
        <v>10</v>
      </c>
    </row>
    <row r="206" spans="1:20" ht="14.25" customHeight="1" x14ac:dyDescent="0.2">
      <c r="A206" s="6"/>
      <c r="B206" s="7"/>
      <c r="C206" s="8"/>
      <c r="D206" s="11" t="s">
        <v>24</v>
      </c>
      <c r="E206" s="11" t="s">
        <v>69</v>
      </c>
      <c r="F206" s="6"/>
      <c r="G206" s="11" t="s">
        <v>0</v>
      </c>
      <c r="H206" s="11" t="s">
        <v>27</v>
      </c>
      <c r="I206" s="11">
        <v>28.433987999999999</v>
      </c>
      <c r="J206" s="11">
        <v>77.074889999999996</v>
      </c>
      <c r="K206" s="11" t="s">
        <v>247</v>
      </c>
      <c r="L206" s="11"/>
      <c r="M206" s="11"/>
      <c r="N206" s="11"/>
      <c r="O206" s="11"/>
      <c r="P206" s="11" t="s">
        <v>243</v>
      </c>
      <c r="Q206" s="11"/>
      <c r="R206" s="11">
        <f t="shared" si="3"/>
        <v>810</v>
      </c>
      <c r="S206" s="11">
        <v>45</v>
      </c>
      <c r="T206" s="11">
        <v>18</v>
      </c>
    </row>
    <row r="207" spans="1:20" ht="14.25" customHeight="1" x14ac:dyDescent="0.2">
      <c r="A207" s="6"/>
      <c r="B207" s="7"/>
      <c r="C207" s="8"/>
      <c r="D207" s="11" t="s">
        <v>24</v>
      </c>
      <c r="E207" s="11" t="s">
        <v>69</v>
      </c>
      <c r="F207" s="6"/>
      <c r="G207" s="11" t="s">
        <v>0</v>
      </c>
      <c r="H207" s="11" t="s">
        <v>27</v>
      </c>
      <c r="I207" s="11">
        <v>28.432911000000001</v>
      </c>
      <c r="J207" s="11">
        <v>77.075778</v>
      </c>
      <c r="K207" s="11" t="s">
        <v>248</v>
      </c>
      <c r="L207" s="11"/>
      <c r="M207" s="11"/>
      <c r="N207" s="11"/>
      <c r="O207" s="11"/>
      <c r="P207" s="11" t="s">
        <v>243</v>
      </c>
      <c r="Q207" s="11"/>
      <c r="R207" s="11">
        <f t="shared" si="3"/>
        <v>936</v>
      </c>
      <c r="S207" s="11">
        <v>52</v>
      </c>
      <c r="T207" s="11">
        <v>18</v>
      </c>
    </row>
    <row r="208" spans="1:20" ht="14.25" customHeight="1" x14ac:dyDescent="0.2">
      <c r="A208" s="6"/>
      <c r="B208" s="7"/>
      <c r="C208" s="8"/>
      <c r="D208" s="11"/>
      <c r="E208" s="11"/>
      <c r="F208" s="6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>
        <f t="shared" si="3"/>
        <v>72</v>
      </c>
      <c r="S208" s="11">
        <v>12</v>
      </c>
      <c r="T208" s="11">
        <v>6</v>
      </c>
    </row>
    <row r="209" spans="1:20" ht="14.25" customHeight="1" x14ac:dyDescent="0.2">
      <c r="A209" s="6"/>
      <c r="B209" s="7"/>
      <c r="C209" s="8"/>
      <c r="D209" s="11"/>
      <c r="E209" s="11"/>
      <c r="F209" s="6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>
        <f t="shared" si="3"/>
        <v>32</v>
      </c>
      <c r="S209" s="11">
        <v>4</v>
      </c>
      <c r="T209" s="11">
        <v>8</v>
      </c>
    </row>
    <row r="210" spans="1:20" ht="14.25" customHeight="1" x14ac:dyDescent="0.2">
      <c r="A210" s="6">
        <v>31</v>
      </c>
      <c r="B210" s="7" t="s">
        <v>148</v>
      </c>
      <c r="C210" s="8" t="s">
        <v>249</v>
      </c>
      <c r="D210" s="11" t="s">
        <v>24</v>
      </c>
      <c r="E210" s="11" t="s">
        <v>69</v>
      </c>
      <c r="F210" s="6" t="s">
        <v>250</v>
      </c>
      <c r="G210" s="11" t="s">
        <v>0</v>
      </c>
      <c r="H210" s="11" t="s">
        <v>27</v>
      </c>
      <c r="I210" s="11">
        <v>28.480018999999999</v>
      </c>
      <c r="J210" s="11">
        <v>76.799040000000005</v>
      </c>
      <c r="K210" s="11" t="s">
        <v>251</v>
      </c>
      <c r="L210" s="11" t="s">
        <v>38</v>
      </c>
      <c r="M210" s="11"/>
      <c r="N210" s="11"/>
      <c r="O210" s="11"/>
      <c r="P210" s="11" t="s">
        <v>252</v>
      </c>
      <c r="Q210" s="11"/>
      <c r="R210" s="11">
        <f t="shared" si="3"/>
        <v>500</v>
      </c>
      <c r="S210" s="11">
        <v>50</v>
      </c>
      <c r="T210" s="11">
        <v>10</v>
      </c>
    </row>
    <row r="211" spans="1:20" ht="14.25" customHeight="1" x14ac:dyDescent="0.2">
      <c r="A211" s="6"/>
      <c r="B211" s="7"/>
      <c r="C211" s="8"/>
      <c r="D211" s="11" t="s">
        <v>24</v>
      </c>
      <c r="E211" s="11" t="s">
        <v>69</v>
      </c>
      <c r="F211" s="6"/>
      <c r="G211" s="11" t="s">
        <v>0</v>
      </c>
      <c r="H211" s="11" t="s">
        <v>27</v>
      </c>
      <c r="I211" s="11">
        <v>28.480022000000002</v>
      </c>
      <c r="J211" s="11">
        <v>76.798872000000003</v>
      </c>
      <c r="K211" s="11" t="s">
        <v>253</v>
      </c>
      <c r="L211" s="11"/>
      <c r="M211" s="11"/>
      <c r="N211" s="11"/>
      <c r="O211" s="11"/>
      <c r="P211" s="11" t="s">
        <v>252</v>
      </c>
      <c r="Q211" s="11"/>
      <c r="R211" s="11">
        <f t="shared" si="3"/>
        <v>264</v>
      </c>
      <c r="S211" s="11">
        <v>22</v>
      </c>
      <c r="T211" s="11">
        <v>12</v>
      </c>
    </row>
    <row r="212" spans="1:20" ht="14.25" customHeight="1" x14ac:dyDescent="0.2">
      <c r="A212" s="6"/>
      <c r="B212" s="7"/>
      <c r="C212" s="8"/>
      <c r="D212" s="11"/>
      <c r="E212" s="11"/>
      <c r="F212" s="6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>
        <f t="shared" si="3"/>
        <v>60</v>
      </c>
      <c r="S212" s="11">
        <v>10</v>
      </c>
      <c r="T212" s="11">
        <v>6</v>
      </c>
    </row>
    <row r="213" spans="1:20" ht="14.25" customHeight="1" x14ac:dyDescent="0.2">
      <c r="A213" s="6"/>
      <c r="B213" s="7"/>
      <c r="C213" s="8"/>
      <c r="D213" s="11"/>
      <c r="E213" s="11"/>
      <c r="F213" s="6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>
        <f t="shared" si="3"/>
        <v>65</v>
      </c>
      <c r="S213" s="11">
        <v>13</v>
      </c>
      <c r="T213" s="11">
        <v>5</v>
      </c>
    </row>
    <row r="214" spans="1:20" ht="14.25" customHeight="1" x14ac:dyDescent="0.2">
      <c r="A214" s="6"/>
      <c r="B214" s="7"/>
      <c r="C214" s="8"/>
      <c r="D214" s="11" t="s">
        <v>24</v>
      </c>
      <c r="E214" s="11" t="s">
        <v>69</v>
      </c>
      <c r="F214" s="6"/>
      <c r="G214" s="11" t="s">
        <v>0</v>
      </c>
      <c r="H214" s="11" t="s">
        <v>27</v>
      </c>
      <c r="I214" s="11">
        <v>28.479755000000001</v>
      </c>
      <c r="J214" s="11">
        <v>76.799471999999994</v>
      </c>
      <c r="K214" s="11" t="s">
        <v>254</v>
      </c>
      <c r="L214" s="11"/>
      <c r="M214" s="11"/>
      <c r="N214" s="11"/>
      <c r="O214" s="11"/>
      <c r="P214" s="11" t="s">
        <v>252</v>
      </c>
      <c r="Q214" s="11"/>
      <c r="R214" s="11">
        <f t="shared" si="3"/>
        <v>384</v>
      </c>
      <c r="S214" s="11">
        <v>32</v>
      </c>
      <c r="T214" s="11">
        <v>12</v>
      </c>
    </row>
    <row r="215" spans="1:20" ht="14.25" customHeight="1" x14ac:dyDescent="0.2">
      <c r="A215" s="6"/>
      <c r="B215" s="7"/>
      <c r="C215" s="8"/>
      <c r="D215" s="11" t="s">
        <v>24</v>
      </c>
      <c r="E215" s="11" t="s">
        <v>69</v>
      </c>
      <c r="F215" s="6"/>
      <c r="G215" s="11" t="s">
        <v>0</v>
      </c>
      <c r="H215" s="11" t="s">
        <v>27</v>
      </c>
      <c r="I215" s="11">
        <v>28.479828000000001</v>
      </c>
      <c r="J215" s="11">
        <v>76.799443999999994</v>
      </c>
      <c r="K215" s="11" t="s">
        <v>255</v>
      </c>
      <c r="L215" s="11"/>
      <c r="M215" s="11"/>
      <c r="N215" s="11"/>
      <c r="O215" s="11"/>
      <c r="P215" s="11" t="s">
        <v>252</v>
      </c>
      <c r="Q215" s="11"/>
      <c r="R215" s="11">
        <f t="shared" si="3"/>
        <v>378</v>
      </c>
      <c r="S215" s="11">
        <v>27</v>
      </c>
      <c r="T215" s="11">
        <v>14</v>
      </c>
    </row>
    <row r="216" spans="1:20" ht="14.25" customHeight="1" x14ac:dyDescent="0.2">
      <c r="A216" s="6"/>
      <c r="B216" s="7"/>
      <c r="C216" s="8"/>
      <c r="D216" s="11" t="s">
        <v>24</v>
      </c>
      <c r="E216" s="11" t="s">
        <v>69</v>
      </c>
      <c r="F216" s="6"/>
      <c r="G216" s="11" t="s">
        <v>0</v>
      </c>
      <c r="H216" s="11" t="s">
        <v>27</v>
      </c>
      <c r="I216" s="11">
        <v>28.479654</v>
      </c>
      <c r="J216" s="11">
        <v>76.799615000000003</v>
      </c>
      <c r="K216" s="11" t="s">
        <v>256</v>
      </c>
      <c r="L216" s="11"/>
      <c r="M216" s="11"/>
      <c r="N216" s="11"/>
      <c r="O216" s="11"/>
      <c r="P216" s="11" t="s">
        <v>252</v>
      </c>
      <c r="Q216" s="11"/>
      <c r="R216" s="11">
        <f t="shared" si="3"/>
        <v>532</v>
      </c>
      <c r="S216" s="11">
        <v>38</v>
      </c>
      <c r="T216" s="11">
        <v>14</v>
      </c>
    </row>
    <row r="217" spans="1:20" ht="14.25" customHeight="1" x14ac:dyDescent="0.2">
      <c r="A217" s="6"/>
      <c r="B217" s="7"/>
      <c r="C217" s="8"/>
      <c r="D217" s="11"/>
      <c r="E217" s="11"/>
      <c r="F217" s="6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>
        <f t="shared" si="3"/>
        <v>630</v>
      </c>
      <c r="S217" s="11">
        <v>70</v>
      </c>
      <c r="T217" s="11">
        <v>9</v>
      </c>
    </row>
    <row r="218" spans="1:20" ht="14.25" customHeight="1" x14ac:dyDescent="0.2">
      <c r="A218" s="6"/>
      <c r="B218" s="7"/>
      <c r="C218" s="8"/>
      <c r="D218" s="11" t="s">
        <v>24</v>
      </c>
      <c r="E218" s="11" t="s">
        <v>69</v>
      </c>
      <c r="F218" s="6"/>
      <c r="G218" s="11" t="s">
        <v>0</v>
      </c>
      <c r="H218" s="11" t="s">
        <v>27</v>
      </c>
      <c r="I218" s="11">
        <v>28.479953999999999</v>
      </c>
      <c r="J218" s="11">
        <v>76.798997999999997</v>
      </c>
      <c r="K218" s="11" t="s">
        <v>257</v>
      </c>
      <c r="L218" s="11"/>
      <c r="M218" s="11"/>
      <c r="N218" s="11"/>
      <c r="O218" s="11"/>
      <c r="P218" s="11" t="s">
        <v>252</v>
      </c>
      <c r="Q218" s="11"/>
      <c r="R218" s="11">
        <f t="shared" si="3"/>
        <v>836</v>
      </c>
      <c r="S218" s="11">
        <v>76</v>
      </c>
      <c r="T218" s="11">
        <v>11</v>
      </c>
    </row>
    <row r="219" spans="1:20" ht="14.25" customHeight="1" x14ac:dyDescent="0.2">
      <c r="A219" s="6"/>
      <c r="B219" s="7"/>
      <c r="C219" s="8"/>
      <c r="D219" s="11" t="s">
        <v>24</v>
      </c>
      <c r="E219" s="11" t="s">
        <v>69</v>
      </c>
      <c r="F219" s="6"/>
      <c r="G219" s="11" t="s">
        <v>0</v>
      </c>
      <c r="H219" s="11" t="s">
        <v>27</v>
      </c>
      <c r="I219" s="11">
        <v>28.480077999999999</v>
      </c>
      <c r="J219" s="11">
        <v>76.799328000000003</v>
      </c>
      <c r="K219" s="11" t="s">
        <v>258</v>
      </c>
      <c r="L219" s="11"/>
      <c r="M219" s="11"/>
      <c r="N219" s="11"/>
      <c r="O219" s="11"/>
      <c r="P219" s="11" t="s">
        <v>259</v>
      </c>
      <c r="Q219" s="11"/>
      <c r="R219" s="11">
        <f t="shared" si="3"/>
        <v>1040</v>
      </c>
      <c r="S219" s="11">
        <v>80</v>
      </c>
      <c r="T219" s="11">
        <v>13</v>
      </c>
    </row>
    <row r="220" spans="1:20" ht="14.25" customHeight="1" x14ac:dyDescent="0.2">
      <c r="A220" s="6">
        <v>32</v>
      </c>
      <c r="B220" s="7" t="s">
        <v>148</v>
      </c>
      <c r="C220" s="8" t="s">
        <v>260</v>
      </c>
      <c r="D220" s="11" t="s">
        <v>24</v>
      </c>
      <c r="E220" s="11" t="s">
        <v>69</v>
      </c>
      <c r="F220" s="14" t="s">
        <v>261</v>
      </c>
      <c r="G220" s="11" t="s">
        <v>0</v>
      </c>
      <c r="H220" s="11" t="s">
        <v>27</v>
      </c>
      <c r="I220" s="11">
        <v>28.457042000000001</v>
      </c>
      <c r="J220" s="11">
        <v>77.017381999999998</v>
      </c>
      <c r="K220" s="11" t="s">
        <v>262</v>
      </c>
      <c r="L220" s="11" t="s">
        <v>38</v>
      </c>
      <c r="M220" s="11"/>
      <c r="N220" s="11"/>
      <c r="O220" s="11"/>
      <c r="P220" s="11" t="s">
        <v>263</v>
      </c>
      <c r="Q220" s="11"/>
      <c r="R220" s="11">
        <f t="shared" si="3"/>
        <v>390</v>
      </c>
      <c r="S220" s="11">
        <v>26</v>
      </c>
      <c r="T220" s="11">
        <v>15</v>
      </c>
    </row>
    <row r="221" spans="1:20" ht="14.25" customHeight="1" x14ac:dyDescent="0.2">
      <c r="A221" s="6"/>
      <c r="B221" s="7"/>
      <c r="C221" s="8"/>
      <c r="D221" s="11"/>
      <c r="E221" s="11"/>
      <c r="F221" s="14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>
        <f t="shared" si="3"/>
        <v>160</v>
      </c>
      <c r="S221" s="11">
        <v>20</v>
      </c>
      <c r="T221" s="11">
        <v>8</v>
      </c>
    </row>
    <row r="222" spans="1:20" ht="14.25" customHeight="1" x14ac:dyDescent="0.2">
      <c r="A222" s="6"/>
      <c r="B222" s="7"/>
      <c r="C222" s="8"/>
      <c r="D222" s="11" t="s">
        <v>24</v>
      </c>
      <c r="E222" s="11" t="s">
        <v>69</v>
      </c>
      <c r="F222" s="14"/>
      <c r="G222" s="11" t="s">
        <v>0</v>
      </c>
      <c r="H222" s="11" t="s">
        <v>27</v>
      </c>
      <c r="I222" s="11">
        <v>28.457117</v>
      </c>
      <c r="J222" s="11">
        <v>77.017418000000006</v>
      </c>
      <c r="K222" s="11" t="s">
        <v>262</v>
      </c>
      <c r="L222" s="11"/>
      <c r="M222" s="11"/>
      <c r="N222" s="11"/>
      <c r="O222" s="11"/>
      <c r="P222" s="11" t="s">
        <v>263</v>
      </c>
      <c r="Q222" s="11"/>
      <c r="R222" s="11">
        <f t="shared" si="3"/>
        <v>160</v>
      </c>
      <c r="S222" s="11">
        <v>20</v>
      </c>
      <c r="T222" s="11">
        <v>8</v>
      </c>
    </row>
    <row r="223" spans="1:20" ht="14.25" customHeight="1" x14ac:dyDescent="0.2">
      <c r="A223" s="6"/>
      <c r="B223" s="7"/>
      <c r="C223" s="8"/>
      <c r="D223" s="11" t="s">
        <v>24</v>
      </c>
      <c r="E223" s="11" t="s">
        <v>69</v>
      </c>
      <c r="F223" s="14"/>
      <c r="G223" s="11" t="s">
        <v>0</v>
      </c>
      <c r="H223" s="11" t="s">
        <v>27</v>
      </c>
      <c r="I223" s="11">
        <v>28.457716900000001</v>
      </c>
      <c r="J223" s="11">
        <v>77.017427999999995</v>
      </c>
      <c r="K223" s="11" t="s">
        <v>264</v>
      </c>
      <c r="L223" s="11"/>
      <c r="M223" s="11"/>
      <c r="N223" s="11"/>
      <c r="O223" s="11"/>
      <c r="P223" s="11" t="s">
        <v>263</v>
      </c>
      <c r="Q223" s="11"/>
      <c r="R223" s="11">
        <f t="shared" si="3"/>
        <v>990</v>
      </c>
      <c r="S223" s="11">
        <v>55</v>
      </c>
      <c r="T223" s="11">
        <v>18</v>
      </c>
    </row>
    <row r="224" spans="1:20" ht="14.25" customHeight="1" x14ac:dyDescent="0.2">
      <c r="A224" s="6"/>
      <c r="B224" s="7"/>
      <c r="C224" s="8"/>
      <c r="D224" s="11"/>
      <c r="E224" s="11"/>
      <c r="F224" s="14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>
        <f t="shared" si="3"/>
        <v>80</v>
      </c>
      <c r="S224" s="11">
        <v>20</v>
      </c>
      <c r="T224" s="11">
        <v>4</v>
      </c>
    </row>
    <row r="225" spans="1:20" ht="14.25" customHeight="1" x14ac:dyDescent="0.2">
      <c r="A225" s="6"/>
      <c r="B225" s="7"/>
      <c r="C225" s="8"/>
      <c r="D225" s="11"/>
      <c r="E225" s="11"/>
      <c r="F225" s="14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>
        <f t="shared" si="3"/>
        <v>100</v>
      </c>
      <c r="S225" s="11">
        <v>10</v>
      </c>
      <c r="T225" s="11">
        <v>10</v>
      </c>
    </row>
    <row r="226" spans="1:20" ht="14.25" customHeight="1" x14ac:dyDescent="0.2">
      <c r="A226" s="6"/>
      <c r="B226" s="7"/>
      <c r="C226" s="8"/>
      <c r="D226" s="11" t="s">
        <v>24</v>
      </c>
      <c r="E226" s="11" t="s">
        <v>69</v>
      </c>
      <c r="F226" s="14"/>
      <c r="G226" s="11" t="s">
        <v>0</v>
      </c>
      <c r="H226" s="11" t="s">
        <v>27</v>
      </c>
      <c r="I226" s="11">
        <v>28.457134</v>
      </c>
      <c r="J226" s="11">
        <v>77.017397000000003</v>
      </c>
      <c r="K226" s="11" t="s">
        <v>265</v>
      </c>
      <c r="L226" s="11"/>
      <c r="M226" s="11"/>
      <c r="N226" s="11"/>
      <c r="O226" s="11"/>
      <c r="P226" s="11" t="s">
        <v>263</v>
      </c>
      <c r="Q226" s="11"/>
      <c r="R226" s="11">
        <f t="shared" si="3"/>
        <v>1760</v>
      </c>
      <c r="S226" s="11">
        <v>80</v>
      </c>
      <c r="T226" s="11">
        <v>22</v>
      </c>
    </row>
    <row r="227" spans="1:20" ht="14.25" customHeight="1" x14ac:dyDescent="0.2">
      <c r="A227" s="6"/>
      <c r="B227" s="7"/>
      <c r="C227" s="8"/>
      <c r="D227" s="11" t="s">
        <v>24</v>
      </c>
      <c r="E227" s="11" t="s">
        <v>69</v>
      </c>
      <c r="F227" s="14"/>
      <c r="G227" s="11" t="s">
        <v>0</v>
      </c>
      <c r="H227" s="11" t="s">
        <v>27</v>
      </c>
      <c r="I227" s="11">
        <v>28.457462</v>
      </c>
      <c r="J227" s="11">
        <v>77.017185999999995</v>
      </c>
      <c r="K227" s="11" t="s">
        <v>265</v>
      </c>
      <c r="L227" s="11"/>
      <c r="M227" s="11"/>
      <c r="N227" s="11"/>
      <c r="O227" s="11"/>
      <c r="P227" s="11" t="s">
        <v>263</v>
      </c>
      <c r="Q227" s="11"/>
      <c r="R227" s="11">
        <f t="shared" si="3"/>
        <v>70</v>
      </c>
      <c r="S227" s="11">
        <v>7</v>
      </c>
      <c r="T227" s="11">
        <v>10</v>
      </c>
    </row>
    <row r="228" spans="1:20" ht="14.25" customHeight="1" x14ac:dyDescent="0.2">
      <c r="A228" s="6"/>
      <c r="B228" s="7"/>
      <c r="C228" s="8"/>
      <c r="F228" s="14"/>
      <c r="L228" s="11"/>
      <c r="M228" s="11"/>
      <c r="N228" s="11"/>
      <c r="O228" s="11"/>
      <c r="P228" s="11"/>
      <c r="Q228" s="11"/>
      <c r="R228" s="11">
        <f t="shared" si="3"/>
        <v>100</v>
      </c>
      <c r="S228" s="11">
        <v>10</v>
      </c>
      <c r="T228" s="11">
        <v>10</v>
      </c>
    </row>
    <row r="229" spans="1:20" ht="14.25" customHeight="1" x14ac:dyDescent="0.2">
      <c r="A229" s="6"/>
      <c r="B229" s="7"/>
      <c r="C229" s="8"/>
      <c r="D229" s="11" t="s">
        <v>24</v>
      </c>
      <c r="E229" s="11" t="s">
        <v>69</v>
      </c>
      <c r="F229" s="14"/>
      <c r="G229" s="11" t="s">
        <v>0</v>
      </c>
      <c r="H229" s="11" t="s">
        <v>27</v>
      </c>
      <c r="I229" s="11">
        <v>28.457136999999999</v>
      </c>
      <c r="J229" s="11">
        <v>77.017390000000006</v>
      </c>
      <c r="K229" s="11" t="s">
        <v>266</v>
      </c>
      <c r="L229" s="11"/>
      <c r="M229" s="11"/>
      <c r="N229" s="11"/>
      <c r="O229" s="11"/>
      <c r="P229" s="11" t="s">
        <v>263</v>
      </c>
      <c r="Q229" s="11"/>
      <c r="R229" s="11">
        <f t="shared" si="3"/>
        <v>675</v>
      </c>
      <c r="S229" s="11">
        <v>45</v>
      </c>
      <c r="T229" s="11">
        <v>15</v>
      </c>
    </row>
    <row r="230" spans="1:20" ht="14.25" customHeight="1" x14ac:dyDescent="0.2">
      <c r="A230" s="6"/>
      <c r="B230" s="7"/>
      <c r="C230" s="8"/>
      <c r="D230" s="11"/>
      <c r="E230" s="11"/>
      <c r="F230" s="14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>
        <f t="shared" si="3"/>
        <v>360</v>
      </c>
      <c r="S230" s="11">
        <v>36</v>
      </c>
      <c r="T230" s="11">
        <v>10</v>
      </c>
    </row>
    <row r="231" spans="1:20" ht="14.25" customHeight="1" x14ac:dyDescent="0.2">
      <c r="A231" s="6"/>
      <c r="B231" s="7"/>
      <c r="C231" s="8"/>
      <c r="D231" s="11"/>
      <c r="E231" s="11"/>
      <c r="F231" s="14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>
        <f t="shared" si="3"/>
        <v>80</v>
      </c>
      <c r="S231" s="11">
        <v>20</v>
      </c>
      <c r="T231" s="11">
        <v>4</v>
      </c>
    </row>
    <row r="232" spans="1:20" ht="14.25" customHeight="1" x14ac:dyDescent="0.2">
      <c r="A232" s="6"/>
      <c r="B232" s="7"/>
      <c r="C232" s="8"/>
      <c r="D232" s="11"/>
      <c r="E232" s="11"/>
      <c r="F232" s="14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>
        <f t="shared" si="3"/>
        <v>72</v>
      </c>
      <c r="S232" s="11">
        <v>18</v>
      </c>
      <c r="T232" s="11">
        <v>4</v>
      </c>
    </row>
    <row r="233" spans="1:20" ht="14.25" customHeight="1" x14ac:dyDescent="0.2">
      <c r="A233" s="6"/>
      <c r="B233" s="7"/>
      <c r="C233" s="8"/>
      <c r="D233" s="11" t="s">
        <v>24</v>
      </c>
      <c r="E233" s="11" t="s">
        <v>69</v>
      </c>
      <c r="F233" s="14"/>
      <c r="G233" s="11" t="s">
        <v>0</v>
      </c>
      <c r="H233" s="11" t="s">
        <v>27</v>
      </c>
      <c r="I233" s="11">
        <v>28.457155</v>
      </c>
      <c r="J233" s="11">
        <v>77.017464000000004</v>
      </c>
      <c r="K233" s="11" t="s">
        <v>267</v>
      </c>
      <c r="L233" s="11"/>
      <c r="M233" s="11"/>
      <c r="N233" s="11"/>
      <c r="O233" s="11"/>
      <c r="P233" s="11" t="s">
        <v>263</v>
      </c>
      <c r="Q233" s="11"/>
      <c r="R233" s="11">
        <f t="shared" si="3"/>
        <v>924</v>
      </c>
      <c r="S233" s="11">
        <v>42</v>
      </c>
      <c r="T233" s="11">
        <v>22</v>
      </c>
    </row>
    <row r="234" spans="1:20" ht="14.25" customHeight="1" x14ac:dyDescent="0.2">
      <c r="A234" s="6"/>
      <c r="B234" s="7"/>
      <c r="C234" s="8"/>
      <c r="D234" s="11"/>
      <c r="E234" s="11"/>
      <c r="F234" s="14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>
        <f t="shared" si="3"/>
        <v>176</v>
      </c>
      <c r="S234" s="11">
        <v>22</v>
      </c>
      <c r="T234" s="11">
        <v>8</v>
      </c>
    </row>
    <row r="235" spans="1:20" ht="14.25" customHeight="1" x14ac:dyDescent="0.2">
      <c r="A235" s="6"/>
      <c r="B235" s="7"/>
      <c r="C235" s="8"/>
      <c r="D235" s="11"/>
      <c r="E235" s="11"/>
      <c r="F235" s="14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>
        <f t="shared" si="3"/>
        <v>100</v>
      </c>
      <c r="S235" s="11">
        <v>10</v>
      </c>
      <c r="T235" s="11">
        <v>10</v>
      </c>
    </row>
    <row r="236" spans="1:20" ht="14.25" customHeight="1" x14ac:dyDescent="0.2">
      <c r="A236" s="6"/>
      <c r="B236" s="7"/>
      <c r="C236" s="8"/>
      <c r="D236" s="11"/>
      <c r="E236" s="11"/>
      <c r="F236" s="14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>
        <f t="shared" si="3"/>
        <v>24</v>
      </c>
      <c r="S236" s="11">
        <v>8</v>
      </c>
      <c r="T236" s="11">
        <v>3</v>
      </c>
    </row>
    <row r="237" spans="1:20" ht="14.25" customHeight="1" x14ac:dyDescent="0.2">
      <c r="A237" s="6"/>
      <c r="B237" s="7"/>
      <c r="C237" s="8"/>
      <c r="D237" s="11" t="s">
        <v>24</v>
      </c>
      <c r="E237" s="11" t="s">
        <v>69</v>
      </c>
      <c r="F237" s="14"/>
      <c r="G237" s="11" t="s">
        <v>0</v>
      </c>
      <c r="H237" s="11" t="s">
        <v>27</v>
      </c>
      <c r="I237" s="11">
        <v>28.457135999999998</v>
      </c>
      <c r="J237" s="11">
        <v>77.017398</v>
      </c>
      <c r="K237" s="11" t="s">
        <v>268</v>
      </c>
      <c r="L237" s="11"/>
      <c r="M237" s="11"/>
      <c r="N237" s="11"/>
      <c r="O237" s="11"/>
      <c r="P237" s="11" t="s">
        <v>263</v>
      </c>
      <c r="Q237" s="11"/>
      <c r="R237" s="11">
        <f t="shared" si="3"/>
        <v>240</v>
      </c>
      <c r="S237" s="11">
        <v>20</v>
      </c>
      <c r="T237" s="11">
        <v>12</v>
      </c>
    </row>
    <row r="238" spans="1:20" ht="14.25" customHeight="1" x14ac:dyDescent="0.2">
      <c r="A238" s="6"/>
      <c r="B238" s="7"/>
      <c r="C238" s="8"/>
      <c r="D238" s="11"/>
      <c r="E238" s="11"/>
      <c r="F238" s="14"/>
      <c r="G238" s="11"/>
      <c r="H238" s="11"/>
      <c r="J238" s="11"/>
      <c r="K238" s="11"/>
      <c r="L238" s="11"/>
      <c r="M238" s="11"/>
      <c r="N238" s="11"/>
      <c r="O238" s="11"/>
      <c r="P238" s="11"/>
      <c r="Q238" s="11"/>
      <c r="R238" s="11">
        <f t="shared" si="3"/>
        <v>21</v>
      </c>
      <c r="S238" s="11">
        <v>3</v>
      </c>
      <c r="T238" s="11">
        <v>7</v>
      </c>
    </row>
    <row r="239" spans="1:20" ht="14.25" customHeight="1" x14ac:dyDescent="0.2">
      <c r="A239" s="6"/>
      <c r="B239" s="7"/>
      <c r="C239" s="8"/>
      <c r="D239" s="11"/>
      <c r="E239" s="11"/>
      <c r="F239" s="14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>
        <f t="shared" si="3"/>
        <v>20</v>
      </c>
      <c r="S239" s="11">
        <v>5</v>
      </c>
      <c r="T239" s="11">
        <v>4</v>
      </c>
    </row>
    <row r="240" spans="1:20" ht="15" customHeight="1" x14ac:dyDescent="0.2">
      <c r="A240" s="6"/>
      <c r="B240" s="7"/>
      <c r="C240" s="8"/>
      <c r="D240" s="9" t="s">
        <v>24</v>
      </c>
      <c r="E240" s="9" t="s">
        <v>69</v>
      </c>
      <c r="F240" s="14"/>
      <c r="G240" s="9" t="s">
        <v>0</v>
      </c>
      <c r="H240" s="9" t="s">
        <v>27</v>
      </c>
      <c r="I240" s="9">
        <v>28.457194000000001</v>
      </c>
      <c r="J240" s="11">
        <v>77.017392999999998</v>
      </c>
      <c r="K240" s="11" t="s">
        <v>269</v>
      </c>
      <c r="L240" s="11"/>
      <c r="M240" s="11"/>
      <c r="N240" s="11"/>
      <c r="O240" s="11"/>
      <c r="P240" s="12" t="s">
        <v>263</v>
      </c>
      <c r="Q240" s="11"/>
      <c r="R240" s="11">
        <f t="shared" si="3"/>
        <v>480</v>
      </c>
      <c r="S240" s="11">
        <v>40</v>
      </c>
      <c r="T240" s="11">
        <v>12</v>
      </c>
    </row>
    <row r="241" spans="1:20" ht="15" customHeight="1" x14ac:dyDescent="0.2">
      <c r="A241" s="6"/>
      <c r="B241" s="7"/>
      <c r="C241" s="8"/>
      <c r="D241" s="9" t="s">
        <v>24</v>
      </c>
      <c r="E241" s="9" t="s">
        <v>69</v>
      </c>
      <c r="F241" s="14"/>
      <c r="G241" s="11" t="s">
        <v>0</v>
      </c>
      <c r="H241" s="11" t="s">
        <v>27</v>
      </c>
      <c r="I241" s="11">
        <v>28.457142000000001</v>
      </c>
      <c r="J241" s="11">
        <v>77.017394999999993</v>
      </c>
      <c r="K241" s="11" t="s">
        <v>269</v>
      </c>
      <c r="L241" s="11"/>
      <c r="M241" s="18"/>
      <c r="N241" s="18"/>
      <c r="O241" s="18"/>
      <c r="P241" s="11" t="s">
        <v>263</v>
      </c>
      <c r="Q241" s="18"/>
      <c r="R241" s="11">
        <f t="shared" si="3"/>
        <v>216</v>
      </c>
      <c r="S241" s="18">
        <v>24</v>
      </c>
      <c r="T241" s="18">
        <v>9</v>
      </c>
    </row>
    <row r="242" spans="1:20" ht="15" customHeight="1" x14ac:dyDescent="0.2">
      <c r="A242" s="6"/>
      <c r="B242" s="7"/>
      <c r="C242" s="8"/>
      <c r="D242" s="9" t="s">
        <v>24</v>
      </c>
      <c r="E242" s="9" t="s">
        <v>69</v>
      </c>
      <c r="F242" s="14"/>
      <c r="G242" s="11" t="s">
        <v>0</v>
      </c>
      <c r="H242" s="11" t="s">
        <v>27</v>
      </c>
      <c r="I242" s="11">
        <v>28.456977999999999</v>
      </c>
      <c r="J242" s="11">
        <v>77.017494999999997</v>
      </c>
      <c r="K242" s="11" t="s">
        <v>270</v>
      </c>
      <c r="L242" s="11"/>
      <c r="M242" s="18"/>
      <c r="N242" s="18"/>
      <c r="O242" s="18"/>
      <c r="P242" s="11" t="s">
        <v>263</v>
      </c>
      <c r="Q242" s="18"/>
      <c r="R242" s="11">
        <f t="shared" si="3"/>
        <v>144</v>
      </c>
      <c r="S242" s="18">
        <v>12</v>
      </c>
      <c r="T242" s="18">
        <v>12</v>
      </c>
    </row>
    <row r="243" spans="1:20" ht="15" customHeight="1" x14ac:dyDescent="0.2">
      <c r="A243" s="19">
        <v>32</v>
      </c>
      <c r="B243" s="19" t="s">
        <v>148</v>
      </c>
      <c r="C243" s="8" t="s">
        <v>271</v>
      </c>
      <c r="D243" s="11" t="s">
        <v>24</v>
      </c>
      <c r="E243" s="11" t="s">
        <v>143</v>
      </c>
      <c r="F243" s="10" t="s">
        <v>272</v>
      </c>
      <c r="G243" s="11" t="s">
        <v>0</v>
      </c>
      <c r="H243" s="11" t="s">
        <v>27</v>
      </c>
      <c r="I243" s="11">
        <v>29.535557000000001</v>
      </c>
      <c r="J243" s="11">
        <v>75.057220000000001</v>
      </c>
      <c r="K243" s="11" t="s">
        <v>273</v>
      </c>
      <c r="L243" s="11" t="s">
        <v>38</v>
      </c>
      <c r="M243" s="18"/>
      <c r="N243" s="18"/>
      <c r="O243" s="18"/>
      <c r="P243" s="11" t="s">
        <v>157</v>
      </c>
      <c r="Q243" s="18"/>
      <c r="R243" s="11">
        <f t="shared" si="3"/>
        <v>693</v>
      </c>
      <c r="S243" s="18">
        <v>77</v>
      </c>
      <c r="T243" s="18">
        <v>9</v>
      </c>
    </row>
    <row r="244" spans="1:20" ht="15" customHeight="1" x14ac:dyDescent="0.2">
      <c r="A244" s="19"/>
      <c r="B244" s="19"/>
      <c r="C244" s="8"/>
      <c r="D244" s="11" t="s">
        <v>24</v>
      </c>
      <c r="E244" s="11" t="s">
        <v>143</v>
      </c>
      <c r="F244" s="10"/>
      <c r="G244" s="11" t="s">
        <v>0</v>
      </c>
      <c r="H244" s="11" t="s">
        <v>27</v>
      </c>
      <c r="I244" s="11"/>
      <c r="J244" s="11"/>
      <c r="K244" s="11" t="s">
        <v>274</v>
      </c>
      <c r="L244" s="11" t="s">
        <v>38</v>
      </c>
      <c r="M244" s="18"/>
      <c r="N244" s="18"/>
      <c r="O244" s="18"/>
      <c r="P244" s="11" t="s">
        <v>157</v>
      </c>
      <c r="Q244" s="18"/>
      <c r="R244" s="11">
        <f t="shared" si="3"/>
        <v>494</v>
      </c>
      <c r="S244" s="18">
        <v>52</v>
      </c>
      <c r="T244" s="18">
        <v>9.5</v>
      </c>
    </row>
    <row r="245" spans="1:20" ht="15" customHeight="1" x14ac:dyDescent="0.2">
      <c r="A245" s="19"/>
      <c r="B245" s="19"/>
      <c r="C245" s="8"/>
      <c r="D245" s="11" t="s">
        <v>24</v>
      </c>
      <c r="E245" s="11" t="s">
        <v>143</v>
      </c>
      <c r="F245" s="10"/>
      <c r="G245" s="11" t="s">
        <v>0</v>
      </c>
      <c r="H245" s="11" t="s">
        <v>27</v>
      </c>
      <c r="I245" s="11">
        <v>29.535458999999999</v>
      </c>
      <c r="J245" s="11">
        <v>75.056944999999999</v>
      </c>
      <c r="K245" s="11" t="s">
        <v>275</v>
      </c>
      <c r="L245" s="11"/>
      <c r="M245" s="18"/>
      <c r="N245" s="18"/>
      <c r="O245" s="18"/>
      <c r="P245" s="11" t="s">
        <v>157</v>
      </c>
      <c r="Q245" s="18"/>
      <c r="R245" s="11">
        <f t="shared" si="3"/>
        <v>420</v>
      </c>
      <c r="S245" s="18">
        <v>42</v>
      </c>
      <c r="T245" s="18">
        <v>10</v>
      </c>
    </row>
    <row r="246" spans="1:20" ht="15" customHeight="1" x14ac:dyDescent="0.2">
      <c r="A246" s="19"/>
      <c r="B246" s="19"/>
      <c r="C246" s="8"/>
      <c r="D246" s="11" t="s">
        <v>24</v>
      </c>
      <c r="E246" s="11" t="s">
        <v>143</v>
      </c>
      <c r="F246" s="10"/>
      <c r="G246" s="11" t="s">
        <v>0</v>
      </c>
      <c r="H246" s="11" t="s">
        <v>27</v>
      </c>
      <c r="I246" s="11">
        <v>29.535571999999998</v>
      </c>
      <c r="J246" s="11">
        <v>75.057729199999997</v>
      </c>
      <c r="K246" s="11" t="s">
        <v>276</v>
      </c>
      <c r="L246" s="11"/>
      <c r="M246" s="18"/>
      <c r="N246" s="18"/>
      <c r="O246" s="18"/>
      <c r="P246" s="11" t="s">
        <v>157</v>
      </c>
      <c r="Q246" s="18"/>
      <c r="R246" s="11">
        <f t="shared" si="3"/>
        <v>288</v>
      </c>
      <c r="S246" s="18">
        <v>32</v>
      </c>
      <c r="T246" s="18">
        <v>9</v>
      </c>
    </row>
    <row r="247" spans="1:20" ht="15" customHeight="1" x14ac:dyDescent="0.2">
      <c r="A247" s="19"/>
      <c r="B247" s="19"/>
      <c r="C247" s="8"/>
      <c r="D247" s="11"/>
      <c r="E247" s="11"/>
      <c r="F247" s="10"/>
      <c r="G247" s="11"/>
      <c r="H247" s="11"/>
      <c r="I247" s="11"/>
      <c r="J247" s="11"/>
      <c r="K247" s="11"/>
      <c r="L247" s="11"/>
      <c r="M247" s="18"/>
      <c r="N247" s="18"/>
      <c r="O247" s="18"/>
      <c r="P247" s="11"/>
      <c r="Q247" s="18"/>
      <c r="R247" s="11">
        <f t="shared" si="3"/>
        <v>22.5</v>
      </c>
      <c r="S247" s="18">
        <v>3</v>
      </c>
      <c r="T247" s="18">
        <v>7.5</v>
      </c>
    </row>
    <row r="248" spans="1:20" ht="15" customHeight="1" x14ac:dyDescent="0.2">
      <c r="A248" s="19"/>
      <c r="B248" s="19"/>
      <c r="C248" s="8"/>
      <c r="D248" s="11" t="s">
        <v>24</v>
      </c>
      <c r="E248" s="11" t="s">
        <v>143</v>
      </c>
      <c r="F248" s="10"/>
      <c r="G248" s="11" t="s">
        <v>0</v>
      </c>
      <c r="H248" s="11" t="s">
        <v>27</v>
      </c>
      <c r="I248" s="11">
        <v>29.534334000000001</v>
      </c>
      <c r="J248" s="11">
        <v>75.059965000000005</v>
      </c>
      <c r="K248" s="11" t="s">
        <v>277</v>
      </c>
      <c r="L248" s="11"/>
      <c r="M248" s="18"/>
      <c r="N248" s="18"/>
      <c r="O248" s="18"/>
      <c r="P248" s="11" t="s">
        <v>164</v>
      </c>
      <c r="Q248" s="18"/>
      <c r="R248" s="11">
        <f t="shared" si="3"/>
        <v>1425</v>
      </c>
      <c r="S248" s="18">
        <v>75</v>
      </c>
      <c r="T248" s="18">
        <v>19</v>
      </c>
    </row>
    <row r="249" spans="1:20" ht="15" customHeight="1" x14ac:dyDescent="0.2">
      <c r="A249" s="19"/>
      <c r="B249" s="19"/>
      <c r="C249" s="8"/>
      <c r="D249" s="11"/>
      <c r="E249" s="11"/>
      <c r="F249" s="10"/>
      <c r="G249" s="11"/>
      <c r="H249" s="11"/>
      <c r="I249" s="11"/>
      <c r="J249" s="11"/>
      <c r="K249" s="11"/>
      <c r="L249" s="11"/>
      <c r="M249" s="18"/>
      <c r="N249" s="18"/>
      <c r="O249" s="18"/>
      <c r="P249" s="11"/>
      <c r="Q249" s="18"/>
      <c r="R249" s="11">
        <f t="shared" si="3"/>
        <v>70</v>
      </c>
      <c r="S249" s="18">
        <v>7</v>
      </c>
      <c r="T249" s="18">
        <v>10</v>
      </c>
    </row>
    <row r="250" spans="1:20" ht="15" customHeight="1" x14ac:dyDescent="0.2">
      <c r="A250" s="19"/>
      <c r="B250" s="19"/>
      <c r="C250" s="8"/>
      <c r="D250" s="11" t="s">
        <v>24</v>
      </c>
      <c r="E250" s="11" t="s">
        <v>143</v>
      </c>
      <c r="F250" s="10"/>
      <c r="G250" s="11" t="s">
        <v>0</v>
      </c>
      <c r="H250" s="11" t="s">
        <v>27</v>
      </c>
      <c r="I250" s="11">
        <v>29.535578000000001</v>
      </c>
      <c r="J250" s="11">
        <v>75.057326000000003</v>
      </c>
      <c r="K250" s="11" t="s">
        <v>278</v>
      </c>
      <c r="L250" s="11"/>
      <c r="M250" s="18"/>
      <c r="N250" s="18"/>
      <c r="O250" s="18"/>
      <c r="P250" s="11" t="s">
        <v>164</v>
      </c>
      <c r="Q250" s="18"/>
      <c r="R250" s="11">
        <f t="shared" si="3"/>
        <v>150</v>
      </c>
      <c r="S250" s="18">
        <v>150</v>
      </c>
      <c r="T250" s="18">
        <v>1</v>
      </c>
    </row>
    <row r="251" spans="1:20" ht="15" customHeight="1" x14ac:dyDescent="0.2">
      <c r="A251" s="19"/>
      <c r="B251" s="19"/>
      <c r="C251" s="8"/>
      <c r="D251" s="11" t="s">
        <v>24</v>
      </c>
      <c r="E251" s="11" t="s">
        <v>143</v>
      </c>
      <c r="F251" s="10"/>
      <c r="G251" s="11" t="s">
        <v>0</v>
      </c>
      <c r="H251" s="11" t="s">
        <v>27</v>
      </c>
      <c r="I251" s="11">
        <v>29.535546</v>
      </c>
      <c r="J251" s="11">
        <v>75.057370000000006</v>
      </c>
      <c r="K251" s="11" t="s">
        <v>279</v>
      </c>
      <c r="L251" s="11"/>
      <c r="M251" s="18"/>
      <c r="N251" s="18"/>
      <c r="O251" s="18"/>
      <c r="P251" s="11" t="s">
        <v>164</v>
      </c>
      <c r="Q251" s="18"/>
      <c r="R251" s="11">
        <f t="shared" si="3"/>
        <v>150</v>
      </c>
      <c r="S251" s="18">
        <v>150</v>
      </c>
      <c r="T251" s="18">
        <v>1</v>
      </c>
    </row>
    <row r="252" spans="1:20" ht="15" customHeight="1" x14ac:dyDescent="0.2">
      <c r="A252" s="19"/>
      <c r="B252" s="19"/>
      <c r="C252" s="8"/>
      <c r="D252" s="11" t="s">
        <v>24</v>
      </c>
      <c r="E252" s="11" t="s">
        <v>143</v>
      </c>
      <c r="F252" s="10"/>
      <c r="G252" s="11" t="s">
        <v>0</v>
      </c>
      <c r="H252" s="11" t="s">
        <v>27</v>
      </c>
      <c r="I252" s="11">
        <v>29.535502000000001</v>
      </c>
      <c r="J252" s="11">
        <v>75.057624000000004</v>
      </c>
      <c r="K252" s="11" t="s">
        <v>280</v>
      </c>
      <c r="L252" s="11"/>
      <c r="M252" s="18"/>
      <c r="N252" s="18"/>
      <c r="O252" s="18"/>
      <c r="P252" s="11" t="s">
        <v>164</v>
      </c>
      <c r="Q252" s="18"/>
      <c r="R252" s="11">
        <f t="shared" si="3"/>
        <v>150</v>
      </c>
      <c r="S252" s="18">
        <v>150</v>
      </c>
      <c r="T252" s="18">
        <v>1</v>
      </c>
    </row>
    <row r="253" spans="1:20" ht="15" customHeight="1" x14ac:dyDescent="0.2">
      <c r="A253" s="19"/>
      <c r="B253" s="19"/>
      <c r="C253" s="8"/>
      <c r="D253" s="11" t="s">
        <v>24</v>
      </c>
      <c r="E253" s="11" t="s">
        <v>143</v>
      </c>
      <c r="F253" s="10"/>
      <c r="G253" s="11" t="s">
        <v>0</v>
      </c>
      <c r="H253" s="11" t="s">
        <v>27</v>
      </c>
      <c r="I253" s="11">
        <v>29.53557</v>
      </c>
      <c r="J253" s="11">
        <v>75.057344000000001</v>
      </c>
      <c r="K253" s="11" t="s">
        <v>281</v>
      </c>
      <c r="L253" s="11"/>
      <c r="M253" s="18"/>
      <c r="N253" s="18"/>
      <c r="O253" s="18"/>
      <c r="P253" s="11" t="s">
        <v>164</v>
      </c>
      <c r="Q253" s="18"/>
      <c r="R253" s="11">
        <f t="shared" si="3"/>
        <v>150</v>
      </c>
      <c r="S253" s="18">
        <v>150</v>
      </c>
      <c r="T253" s="18">
        <v>1</v>
      </c>
    </row>
    <row r="254" spans="1:20" ht="15" customHeight="1" x14ac:dyDescent="0.2">
      <c r="A254" s="19"/>
      <c r="B254" s="19"/>
      <c r="C254" s="8"/>
      <c r="D254" s="11" t="s">
        <v>24</v>
      </c>
      <c r="E254" s="11" t="s">
        <v>143</v>
      </c>
      <c r="F254" s="10"/>
      <c r="G254" s="11" t="s">
        <v>0</v>
      </c>
      <c r="H254" s="11" t="s">
        <v>27</v>
      </c>
      <c r="I254" s="11">
        <v>29.535534999999999</v>
      </c>
      <c r="J254" s="11">
        <v>75.057316999999998</v>
      </c>
      <c r="K254" s="11" t="s">
        <v>282</v>
      </c>
      <c r="L254" s="11"/>
      <c r="M254" s="18"/>
      <c r="N254" s="18"/>
      <c r="O254" s="18"/>
      <c r="P254" s="11" t="s">
        <v>157</v>
      </c>
      <c r="Q254" s="18"/>
      <c r="R254" s="11">
        <f t="shared" si="3"/>
        <v>100</v>
      </c>
      <c r="S254" s="18">
        <v>100</v>
      </c>
      <c r="T254" s="18">
        <v>1</v>
      </c>
    </row>
    <row r="255" spans="1:20" ht="15" customHeight="1" x14ac:dyDescent="0.2">
      <c r="A255" s="19"/>
      <c r="B255" s="19"/>
      <c r="C255" s="8"/>
      <c r="D255" s="11" t="s">
        <v>24</v>
      </c>
      <c r="E255" s="11" t="s">
        <v>143</v>
      </c>
      <c r="F255" s="10"/>
      <c r="G255" s="11" t="s">
        <v>0</v>
      </c>
      <c r="H255" s="11" t="s">
        <v>27</v>
      </c>
      <c r="I255" s="11">
        <v>29.535530999999999</v>
      </c>
      <c r="J255" s="11">
        <v>75.057277999999997</v>
      </c>
      <c r="K255" s="11" t="s">
        <v>283</v>
      </c>
      <c r="L255" s="11"/>
      <c r="M255" s="18"/>
      <c r="N255" s="18"/>
      <c r="O255" s="18"/>
      <c r="P255" s="11" t="s">
        <v>164</v>
      </c>
      <c r="Q255" s="18"/>
      <c r="R255" s="11">
        <f t="shared" si="3"/>
        <v>100</v>
      </c>
      <c r="S255" s="18">
        <v>100</v>
      </c>
      <c r="T255" s="18">
        <v>1</v>
      </c>
    </row>
    <row r="256" spans="1:20" ht="15" customHeight="1" x14ac:dyDescent="0.2">
      <c r="A256" s="19"/>
      <c r="B256" s="19"/>
      <c r="C256" s="8"/>
      <c r="D256" s="11" t="s">
        <v>24</v>
      </c>
      <c r="E256" s="11" t="s">
        <v>143</v>
      </c>
      <c r="F256" s="10"/>
      <c r="G256" s="11" t="s">
        <v>0</v>
      </c>
      <c r="H256" s="11" t="s">
        <v>27</v>
      </c>
      <c r="I256" s="11">
        <v>29.535530999999999</v>
      </c>
      <c r="J256" s="11">
        <v>75.057261999999994</v>
      </c>
      <c r="K256" s="11" t="s">
        <v>284</v>
      </c>
      <c r="L256" s="11"/>
      <c r="M256" s="18"/>
      <c r="N256" s="18"/>
      <c r="O256" s="18"/>
      <c r="P256" s="11" t="s">
        <v>164</v>
      </c>
      <c r="Q256" s="18"/>
      <c r="R256" s="11">
        <f t="shared" si="3"/>
        <v>150</v>
      </c>
      <c r="S256" s="18">
        <v>150</v>
      </c>
      <c r="T256" s="18">
        <v>1</v>
      </c>
    </row>
    <row r="257" spans="1:20" ht="15" customHeight="1" x14ac:dyDescent="0.2">
      <c r="A257" s="19"/>
      <c r="B257" s="19"/>
      <c r="C257" s="8"/>
      <c r="D257" s="11" t="s">
        <v>24</v>
      </c>
      <c r="E257" s="11" t="s">
        <v>143</v>
      </c>
      <c r="F257" s="10"/>
      <c r="G257" s="11" t="s">
        <v>0</v>
      </c>
      <c r="H257" s="11" t="s">
        <v>27</v>
      </c>
      <c r="I257" s="11">
        <v>29.535602999999998</v>
      </c>
      <c r="J257" s="11">
        <v>75.057454000000007</v>
      </c>
      <c r="K257" s="11" t="s">
        <v>285</v>
      </c>
      <c r="L257" s="11"/>
      <c r="M257" s="18"/>
      <c r="N257" s="18"/>
      <c r="O257" s="18"/>
      <c r="P257" s="11" t="s">
        <v>164</v>
      </c>
      <c r="Q257" s="18"/>
      <c r="R257" s="11">
        <f t="shared" si="3"/>
        <v>45</v>
      </c>
      <c r="S257" s="18">
        <v>9</v>
      </c>
      <c r="T257" s="18">
        <v>5</v>
      </c>
    </row>
    <row r="258" spans="1:20" ht="15" customHeight="1" x14ac:dyDescent="0.2">
      <c r="A258" s="20"/>
      <c r="B258" s="21"/>
      <c r="C258" s="22"/>
      <c r="D258" s="11"/>
      <c r="E258" s="11"/>
      <c r="F258" s="9"/>
      <c r="G258" s="11"/>
      <c r="H258" s="11"/>
      <c r="I258" s="11"/>
      <c r="J258" s="11"/>
      <c r="K258" s="11"/>
      <c r="L258" s="11"/>
      <c r="M258" s="18"/>
      <c r="N258" s="18"/>
      <c r="O258" s="18"/>
      <c r="P258" s="18"/>
      <c r="Q258" s="18"/>
      <c r="R258" s="11">
        <f t="shared" si="3"/>
        <v>0</v>
      </c>
      <c r="S258" s="18"/>
      <c r="T258" s="18"/>
    </row>
    <row r="259" spans="1:20" ht="15" customHeight="1" x14ac:dyDescent="0.2">
      <c r="A259" s="20"/>
      <c r="B259" s="21"/>
      <c r="C259" s="22"/>
      <c r="D259" s="11"/>
      <c r="E259" s="11"/>
      <c r="F259" s="9"/>
      <c r="G259" s="11"/>
      <c r="H259" s="11"/>
      <c r="I259" s="11"/>
      <c r="J259" s="11"/>
      <c r="K259" s="11"/>
      <c r="L259" s="11"/>
      <c r="M259" s="18"/>
      <c r="N259" s="18"/>
      <c r="O259" s="18"/>
      <c r="P259" s="18"/>
      <c r="Q259" s="18"/>
      <c r="R259" s="11">
        <f t="shared" ref="R259:R262" si="4">S259*T259</f>
        <v>0</v>
      </c>
      <c r="S259" s="18"/>
      <c r="T259" s="18"/>
    </row>
    <row r="260" spans="1:20" ht="15" customHeight="1" x14ac:dyDescent="0.2">
      <c r="A260" s="20"/>
      <c r="B260" s="21"/>
      <c r="C260" s="22"/>
      <c r="D260" s="11"/>
      <c r="E260" s="11"/>
      <c r="F260" s="9"/>
      <c r="G260" s="11"/>
      <c r="H260" s="11"/>
      <c r="I260" s="11"/>
      <c r="J260" s="11"/>
      <c r="K260" s="11"/>
      <c r="L260" s="11"/>
      <c r="M260" s="18"/>
      <c r="N260" s="18"/>
      <c r="O260" s="18"/>
      <c r="P260" s="18"/>
      <c r="Q260" s="18"/>
      <c r="R260" s="11">
        <f t="shared" si="4"/>
        <v>0</v>
      </c>
      <c r="S260" s="18"/>
      <c r="T260" s="18"/>
    </row>
    <row r="261" spans="1:20" ht="15" customHeight="1" x14ac:dyDescent="0.2">
      <c r="A261" s="20"/>
      <c r="B261" s="21"/>
      <c r="C261" s="22"/>
      <c r="D261" s="18"/>
      <c r="E261" s="18"/>
      <c r="F261" s="9"/>
      <c r="G261" s="18"/>
      <c r="H261" s="18"/>
      <c r="I261" s="18"/>
      <c r="J261" s="18"/>
      <c r="K261" s="18"/>
      <c r="L261" s="11"/>
      <c r="M261" s="18"/>
      <c r="N261" s="18"/>
      <c r="O261" s="18"/>
      <c r="P261" s="18"/>
      <c r="Q261" s="18"/>
      <c r="R261" s="23"/>
      <c r="S261" s="18"/>
      <c r="T261" s="18"/>
    </row>
    <row r="262" spans="1:20" x14ac:dyDescent="0.2">
      <c r="A262" s="20"/>
      <c r="B262" s="21"/>
      <c r="C262" s="24"/>
      <c r="D262" s="21"/>
      <c r="E262" s="21"/>
      <c r="F262" s="18"/>
      <c r="G262" s="21"/>
      <c r="H262" s="21"/>
      <c r="I262" s="21"/>
      <c r="J262" s="25" t="s">
        <v>286</v>
      </c>
      <c r="K262" s="25"/>
      <c r="L262" s="25"/>
      <c r="M262" s="25"/>
      <c r="N262" s="26"/>
      <c r="O262" s="27"/>
      <c r="P262" s="28"/>
      <c r="Q262" s="26"/>
      <c r="R262" s="29">
        <f>SUM(R3:R259)</f>
        <v>128276</v>
      </c>
      <c r="S262" s="26"/>
      <c r="T262" s="26"/>
    </row>
    <row r="263" spans="1:20" x14ac:dyDescent="0.2">
      <c r="A263" s="30"/>
      <c r="B263" s="31"/>
      <c r="C263" s="32"/>
      <c r="D263" s="31"/>
      <c r="E263" s="31"/>
      <c r="F263" s="31"/>
      <c r="G263" s="31"/>
      <c r="H263" s="31"/>
      <c r="I263" s="31"/>
      <c r="J263" s="33"/>
      <c r="K263" s="33"/>
      <c r="L263" s="33"/>
      <c r="M263" s="33"/>
      <c r="N263" s="31"/>
      <c r="O263" s="31"/>
      <c r="P263" s="34"/>
      <c r="Q263" s="31"/>
      <c r="R263" s="31"/>
      <c r="S263" s="31"/>
      <c r="T263" s="31"/>
    </row>
    <row r="264" spans="1:20" x14ac:dyDescent="0.2">
      <c r="A264" s="30"/>
      <c r="B264" s="31"/>
      <c r="C264" s="32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4"/>
      <c r="Q264" s="31"/>
      <c r="R264" s="31"/>
      <c r="S264" s="31"/>
      <c r="T264" s="31"/>
    </row>
    <row r="265" spans="1:20" x14ac:dyDescent="0.2">
      <c r="A265" s="30"/>
      <c r="B265" s="31"/>
      <c r="C265" s="32"/>
      <c r="D265" s="31"/>
      <c r="E265" s="31"/>
      <c r="F265" s="31"/>
      <c r="G265" s="31"/>
      <c r="H265" s="31"/>
      <c r="I265" s="31"/>
      <c r="J265" s="35" t="s">
        <v>287</v>
      </c>
      <c r="K265" s="35"/>
      <c r="L265" s="35"/>
      <c r="M265" s="31"/>
      <c r="N265" s="31"/>
      <c r="O265" s="31"/>
      <c r="P265" s="34"/>
      <c r="Q265" s="31"/>
      <c r="R265" s="36">
        <f>R262</f>
        <v>128276</v>
      </c>
      <c r="S265" s="31"/>
      <c r="T265" s="31"/>
    </row>
    <row r="266" spans="1:20" x14ac:dyDescent="0.2">
      <c r="A266" s="31"/>
      <c r="B266" s="31"/>
      <c r="C266" s="32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4"/>
      <c r="Q266" s="31"/>
      <c r="R266" s="31"/>
      <c r="S266" s="31"/>
      <c r="T266" s="31"/>
    </row>
    <row r="267" spans="1:20" x14ac:dyDescent="0.2">
      <c r="A267" s="31"/>
      <c r="B267" s="31"/>
      <c r="C267" s="32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4"/>
      <c r="Q267" s="31"/>
      <c r="R267" s="31"/>
      <c r="S267" s="31"/>
      <c r="T267" s="31"/>
    </row>
    <row r="268" spans="1:20" x14ac:dyDescent="0.2">
      <c r="A268" s="31"/>
      <c r="B268" s="31"/>
      <c r="C268" s="32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4"/>
      <c r="Q268" s="31"/>
      <c r="R268" s="31"/>
      <c r="S268" s="31"/>
      <c r="T268" s="31"/>
    </row>
    <row r="269" spans="1:20" x14ac:dyDescent="0.2">
      <c r="A269" s="37"/>
      <c r="B269" s="37"/>
      <c r="C269" s="32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4"/>
      <c r="Q269" s="31"/>
      <c r="R269" s="31"/>
      <c r="S269" s="31"/>
      <c r="T269" s="31"/>
    </row>
    <row r="270" spans="1:20" x14ac:dyDescent="0.2">
      <c r="A270" s="37"/>
      <c r="B270" s="37"/>
      <c r="C270" s="38"/>
      <c r="D270" s="37"/>
      <c r="E270" s="37"/>
      <c r="F270" s="31"/>
      <c r="G270" s="37"/>
      <c r="H270" s="37"/>
      <c r="I270" s="37"/>
      <c r="J270" s="31"/>
      <c r="K270" s="31"/>
      <c r="L270" s="31"/>
      <c r="M270" s="31"/>
      <c r="N270" s="37"/>
      <c r="O270" s="37"/>
      <c r="P270" s="37"/>
      <c r="Q270" s="37"/>
      <c r="R270" s="37"/>
      <c r="S270" s="37"/>
      <c r="T270" s="37"/>
    </row>
    <row r="271" spans="1:20" x14ac:dyDescent="0.2">
      <c r="A271" s="37"/>
      <c r="B271" s="37"/>
      <c r="C271" s="38"/>
      <c r="D271" s="37"/>
      <c r="E271" s="37"/>
      <c r="F271" s="37" t="s">
        <v>288</v>
      </c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</row>
    <row r="272" spans="1:20" x14ac:dyDescent="0.2">
      <c r="A272" s="37"/>
      <c r="B272" s="37"/>
      <c r="C272" s="38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</row>
    <row r="273" spans="1:20" x14ac:dyDescent="0.2">
      <c r="A273" s="37"/>
      <c r="B273" s="37"/>
      <c r="C273" s="38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</row>
    <row r="274" spans="1:20" x14ac:dyDescent="0.2">
      <c r="A274" s="37"/>
      <c r="B274" s="37"/>
      <c r="C274" s="38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</row>
    <row r="275" spans="1:20" x14ac:dyDescent="0.2">
      <c r="A275" s="37"/>
      <c r="B275" s="37"/>
      <c r="C275" s="38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</row>
    <row r="276" spans="1:20" x14ac:dyDescent="0.2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</row>
    <row r="277" spans="1:20" x14ac:dyDescent="0.2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</row>
    <row r="278" spans="1:20" x14ac:dyDescent="0.2"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</row>
    <row r="279" spans="1:20" ht="12.75" customHeight="1" x14ac:dyDescent="0.2">
      <c r="F279" s="37"/>
      <c r="J279" s="37"/>
      <c r="K279" s="37"/>
      <c r="L279" s="37"/>
      <c r="M279" s="37"/>
    </row>
  </sheetData>
  <mergeCells count="136">
    <mergeCell ref="J262:M262"/>
    <mergeCell ref="J265:L265"/>
    <mergeCell ref="A220:A242"/>
    <mergeCell ref="B220:B242"/>
    <mergeCell ref="C220:C242"/>
    <mergeCell ref="F220:F242"/>
    <mergeCell ref="A243:A257"/>
    <mergeCell ref="B243:B257"/>
    <mergeCell ref="C243:C257"/>
    <mergeCell ref="F243:F257"/>
    <mergeCell ref="A204:A209"/>
    <mergeCell ref="B204:B209"/>
    <mergeCell ref="C204:C209"/>
    <mergeCell ref="F204:F209"/>
    <mergeCell ref="A210:A219"/>
    <mergeCell ref="B210:B219"/>
    <mergeCell ref="C210:C219"/>
    <mergeCell ref="F210:F219"/>
    <mergeCell ref="A183:A191"/>
    <mergeCell ref="B183:B191"/>
    <mergeCell ref="C183:C191"/>
    <mergeCell ref="F183:F191"/>
    <mergeCell ref="A192:A203"/>
    <mergeCell ref="B192:B203"/>
    <mergeCell ref="C192:C203"/>
    <mergeCell ref="F192:F203"/>
    <mergeCell ref="A172:A175"/>
    <mergeCell ref="B172:B175"/>
    <mergeCell ref="C172:C175"/>
    <mergeCell ref="F172:F175"/>
    <mergeCell ref="A176:A182"/>
    <mergeCell ref="B176:B182"/>
    <mergeCell ref="C176:C182"/>
    <mergeCell ref="F176:F182"/>
    <mergeCell ref="A154:A162"/>
    <mergeCell ref="B154:B162"/>
    <mergeCell ref="C154:C162"/>
    <mergeCell ref="F154:F162"/>
    <mergeCell ref="A163:A171"/>
    <mergeCell ref="B163:B171"/>
    <mergeCell ref="C163:C171"/>
    <mergeCell ref="F163:F171"/>
    <mergeCell ref="A144:A148"/>
    <mergeCell ref="B144:B148"/>
    <mergeCell ref="C144:C148"/>
    <mergeCell ref="F144:F148"/>
    <mergeCell ref="A149:A153"/>
    <mergeCell ref="B149:B153"/>
    <mergeCell ref="C149:C153"/>
    <mergeCell ref="F149:F153"/>
    <mergeCell ref="A128:A139"/>
    <mergeCell ref="B128:B139"/>
    <mergeCell ref="C128:C139"/>
    <mergeCell ref="F128:F139"/>
    <mergeCell ref="A140:A143"/>
    <mergeCell ref="B140:B143"/>
    <mergeCell ref="C140:C143"/>
    <mergeCell ref="F140:F143"/>
    <mergeCell ref="A114:A120"/>
    <mergeCell ref="B114:B120"/>
    <mergeCell ref="C114:C120"/>
    <mergeCell ref="F114:F120"/>
    <mergeCell ref="A121:A127"/>
    <mergeCell ref="B121:B127"/>
    <mergeCell ref="C121:C127"/>
    <mergeCell ref="F121:F127"/>
    <mergeCell ref="A99:A101"/>
    <mergeCell ref="B99:B101"/>
    <mergeCell ref="C99:C101"/>
    <mergeCell ref="F99:F101"/>
    <mergeCell ref="A102:A113"/>
    <mergeCell ref="B102:B113"/>
    <mergeCell ref="C102:C113"/>
    <mergeCell ref="F102:F113"/>
    <mergeCell ref="A89:A93"/>
    <mergeCell ref="B89:B93"/>
    <mergeCell ref="C89:C93"/>
    <mergeCell ref="F89:F93"/>
    <mergeCell ref="A94:A98"/>
    <mergeCell ref="B94:B98"/>
    <mergeCell ref="C94:C98"/>
    <mergeCell ref="F94:F98"/>
    <mergeCell ref="A76:A79"/>
    <mergeCell ref="B76:B79"/>
    <mergeCell ref="C76:C79"/>
    <mergeCell ref="F76:F79"/>
    <mergeCell ref="A80:A88"/>
    <mergeCell ref="B80:B88"/>
    <mergeCell ref="C80:C88"/>
    <mergeCell ref="F80:F88"/>
    <mergeCell ref="A64:A68"/>
    <mergeCell ref="B64:B68"/>
    <mergeCell ref="C64:C68"/>
    <mergeCell ref="F64:F68"/>
    <mergeCell ref="A69:A75"/>
    <mergeCell ref="B69:B75"/>
    <mergeCell ref="C69:C75"/>
    <mergeCell ref="F69:F75"/>
    <mergeCell ref="A50:A51"/>
    <mergeCell ref="B50:B51"/>
    <mergeCell ref="C50:C51"/>
    <mergeCell ref="F50:F51"/>
    <mergeCell ref="A52:A63"/>
    <mergeCell ref="B52:B63"/>
    <mergeCell ref="C52:C63"/>
    <mergeCell ref="F52:F63"/>
    <mergeCell ref="A40:A46"/>
    <mergeCell ref="B40:B46"/>
    <mergeCell ref="C40:C46"/>
    <mergeCell ref="F40:F46"/>
    <mergeCell ref="A47:A49"/>
    <mergeCell ref="B47:B49"/>
    <mergeCell ref="C47:C49"/>
    <mergeCell ref="F47:F49"/>
    <mergeCell ref="A26:A34"/>
    <mergeCell ref="B26:B34"/>
    <mergeCell ref="C26:C34"/>
    <mergeCell ref="F26:F34"/>
    <mergeCell ref="A35:A39"/>
    <mergeCell ref="B35:B39"/>
    <mergeCell ref="C35:C39"/>
    <mergeCell ref="F35:F39"/>
    <mergeCell ref="A10:A16"/>
    <mergeCell ref="B10:B16"/>
    <mergeCell ref="C10:C16"/>
    <mergeCell ref="F10:F16"/>
    <mergeCell ref="A17:A25"/>
    <mergeCell ref="B17:B25"/>
    <mergeCell ref="C17:C25"/>
    <mergeCell ref="F17:F25"/>
    <mergeCell ref="A1:R1"/>
    <mergeCell ref="S1:T1"/>
    <mergeCell ref="A3:A9"/>
    <mergeCell ref="B3:B9"/>
    <mergeCell ref="C3:C9"/>
    <mergeCell ref="F3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E68A-895D-8F4A-BD3C-C86B68A7EAED}">
  <dimension ref="A1:X63"/>
  <sheetViews>
    <sheetView topLeftCell="E27" workbookViewId="0">
      <selection activeCell="U62" sqref="U62"/>
    </sheetView>
  </sheetViews>
  <sheetFormatPr baseColWidth="10" defaultColWidth="8.83203125" defaultRowHeight="16" x14ac:dyDescent="0.2"/>
  <cols>
    <col min="3" max="3" width="20.83203125" customWidth="1"/>
    <col min="4" max="4" width="74.33203125" bestFit="1" customWidth="1"/>
    <col min="8" max="8" width="12" bestFit="1" customWidth="1"/>
    <col min="11" max="12" width="10" bestFit="1" customWidth="1"/>
    <col min="18" max="18" width="10.33203125" bestFit="1" customWidth="1"/>
    <col min="19" max="19" width="17.5" bestFit="1" customWidth="1"/>
    <col min="21" max="21" width="8.83203125" style="69"/>
  </cols>
  <sheetData>
    <row r="1" spans="1:24" ht="91" x14ac:dyDescent="0.2">
      <c r="A1" s="39" t="s">
        <v>2</v>
      </c>
      <c r="B1" s="40" t="s">
        <v>3</v>
      </c>
      <c r="C1" s="39" t="s">
        <v>4</v>
      </c>
      <c r="D1" s="39" t="s">
        <v>289</v>
      </c>
      <c r="E1" s="39" t="s">
        <v>5</v>
      </c>
      <c r="F1" s="39" t="s">
        <v>6</v>
      </c>
      <c r="G1" s="39" t="s">
        <v>7</v>
      </c>
      <c r="H1" s="39" t="s">
        <v>290</v>
      </c>
      <c r="I1" s="39" t="s">
        <v>291</v>
      </c>
      <c r="J1" s="39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3" t="s">
        <v>18</v>
      </c>
      <c r="T1" s="3" t="s">
        <v>292</v>
      </c>
      <c r="U1" s="3" t="s">
        <v>19</v>
      </c>
      <c r="V1" s="3" t="s">
        <v>20</v>
      </c>
      <c r="W1" s="3" t="s">
        <v>21</v>
      </c>
      <c r="X1" s="18"/>
    </row>
    <row r="2" spans="1:24" x14ac:dyDescent="0.2">
      <c r="A2" s="41">
        <v>1</v>
      </c>
      <c r="B2" s="42" t="s">
        <v>148</v>
      </c>
      <c r="C2" s="43" t="s">
        <v>293</v>
      </c>
      <c r="D2" s="44" t="s">
        <v>294</v>
      </c>
      <c r="E2" s="44" t="s">
        <v>295</v>
      </c>
      <c r="F2" s="44" t="s">
        <v>294</v>
      </c>
      <c r="G2" s="44"/>
      <c r="H2" s="44">
        <v>9811116457</v>
      </c>
      <c r="I2" s="44"/>
      <c r="J2" s="45"/>
      <c r="K2" s="45"/>
      <c r="L2" s="45"/>
      <c r="M2" s="45"/>
      <c r="N2" s="45"/>
      <c r="O2" s="45"/>
      <c r="P2" s="45"/>
      <c r="Q2" s="45"/>
      <c r="R2" s="45"/>
      <c r="S2" s="45" t="s">
        <v>296</v>
      </c>
      <c r="T2" s="45"/>
      <c r="U2" s="49">
        <f>V2*W2</f>
        <v>0</v>
      </c>
      <c r="V2" s="45"/>
      <c r="W2" s="45"/>
      <c r="X2" s="45" t="s">
        <v>379</v>
      </c>
    </row>
    <row r="3" spans="1:24" x14ac:dyDescent="0.2">
      <c r="A3" s="41">
        <v>2</v>
      </c>
      <c r="B3" s="46" t="s">
        <v>148</v>
      </c>
      <c r="C3" s="47" t="s">
        <v>297</v>
      </c>
      <c r="D3" s="48" t="s">
        <v>298</v>
      </c>
      <c r="E3" s="44" t="s">
        <v>295</v>
      </c>
      <c r="F3" s="49" t="s">
        <v>294</v>
      </c>
      <c r="G3" s="49"/>
      <c r="H3" s="47">
        <v>9811141295</v>
      </c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9">
        <f t="shared" ref="U3:U61" si="0">V3*W3</f>
        <v>0</v>
      </c>
      <c r="V3" s="45"/>
      <c r="W3" s="45"/>
      <c r="X3" s="45" t="s">
        <v>379</v>
      </c>
    </row>
    <row r="4" spans="1:24" x14ac:dyDescent="0.2">
      <c r="A4" s="41">
        <v>3</v>
      </c>
      <c r="B4" s="46" t="s">
        <v>148</v>
      </c>
      <c r="C4" s="47" t="s">
        <v>299</v>
      </c>
      <c r="D4" s="48" t="s">
        <v>300</v>
      </c>
      <c r="E4" s="44" t="s">
        <v>295</v>
      </c>
      <c r="F4" s="49" t="s">
        <v>294</v>
      </c>
      <c r="G4" s="49"/>
      <c r="H4" s="47">
        <v>9811222765</v>
      </c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9">
        <f t="shared" si="0"/>
        <v>0</v>
      </c>
      <c r="V4" s="45"/>
      <c r="W4" s="45"/>
      <c r="X4" s="45" t="s">
        <v>379</v>
      </c>
    </row>
    <row r="5" spans="1:24" x14ac:dyDescent="0.2">
      <c r="A5" s="50">
        <v>4</v>
      </c>
      <c r="B5" s="51" t="s">
        <v>148</v>
      </c>
      <c r="C5" s="52" t="s">
        <v>301</v>
      </c>
      <c r="D5" s="53" t="s">
        <v>302</v>
      </c>
      <c r="E5" s="54" t="s">
        <v>295</v>
      </c>
      <c r="F5" s="55" t="s">
        <v>294</v>
      </c>
      <c r="G5" s="55"/>
      <c r="H5" s="56">
        <v>9927029216</v>
      </c>
      <c r="I5" s="18"/>
      <c r="J5" s="18"/>
      <c r="K5" s="18"/>
      <c r="L5" s="18"/>
      <c r="M5" s="18" t="s">
        <v>303</v>
      </c>
      <c r="N5" s="18"/>
      <c r="O5" s="18"/>
      <c r="P5" s="18"/>
      <c r="Q5" s="18"/>
      <c r="R5" s="18"/>
      <c r="S5" s="18"/>
      <c r="T5" s="18">
        <v>3000</v>
      </c>
      <c r="U5" s="55">
        <f t="shared" si="0"/>
        <v>325</v>
      </c>
      <c r="V5" s="18">
        <v>65</v>
      </c>
      <c r="W5" s="18">
        <v>5</v>
      </c>
      <c r="X5" s="18"/>
    </row>
    <row r="6" spans="1:24" x14ac:dyDescent="0.2">
      <c r="A6" s="50"/>
      <c r="B6" s="51"/>
      <c r="C6" s="52"/>
      <c r="D6" s="53"/>
      <c r="E6" s="54"/>
      <c r="F6" s="55"/>
      <c r="G6" s="55"/>
      <c r="H6" s="56"/>
      <c r="I6" s="18"/>
      <c r="J6" s="18"/>
      <c r="K6" s="18"/>
      <c r="L6" s="18"/>
      <c r="M6" s="18" t="s">
        <v>304</v>
      </c>
      <c r="N6" s="18"/>
      <c r="O6" s="18"/>
      <c r="P6" s="18"/>
      <c r="Q6" s="18"/>
      <c r="R6" s="18"/>
      <c r="S6" s="18"/>
      <c r="T6" s="18"/>
      <c r="U6" s="55">
        <f t="shared" si="0"/>
        <v>265</v>
      </c>
      <c r="V6" s="18">
        <v>53</v>
      </c>
      <c r="W6" s="18">
        <v>5</v>
      </c>
      <c r="X6" s="18"/>
    </row>
    <row r="7" spans="1:24" x14ac:dyDescent="0.2">
      <c r="A7" s="50"/>
      <c r="B7" s="51"/>
      <c r="C7" s="52"/>
      <c r="D7" s="53"/>
      <c r="E7" s="54"/>
      <c r="F7" s="55"/>
      <c r="G7" s="55"/>
      <c r="H7" s="56"/>
      <c r="I7" s="18"/>
      <c r="J7" s="18"/>
      <c r="K7" s="18"/>
      <c r="L7" s="18"/>
      <c r="M7" s="18" t="s">
        <v>305</v>
      </c>
      <c r="N7" s="18"/>
      <c r="O7" s="18"/>
      <c r="P7" s="18"/>
      <c r="Q7" s="18"/>
      <c r="R7" s="18"/>
      <c r="S7" s="18"/>
      <c r="T7" s="18"/>
      <c r="U7" s="55">
        <f t="shared" si="0"/>
        <v>407</v>
      </c>
      <c r="V7" s="18">
        <v>37</v>
      </c>
      <c r="W7" s="18">
        <v>11</v>
      </c>
      <c r="X7" s="18"/>
    </row>
    <row r="8" spans="1:24" x14ac:dyDescent="0.2">
      <c r="A8" s="50"/>
      <c r="B8" s="51"/>
      <c r="C8" s="52"/>
      <c r="D8" s="53"/>
      <c r="E8" s="54"/>
      <c r="F8" s="55"/>
      <c r="G8" s="55"/>
      <c r="H8" s="56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55">
        <f t="shared" si="0"/>
        <v>165</v>
      </c>
      <c r="V8" s="18">
        <v>33</v>
      </c>
      <c r="W8" s="18">
        <v>5</v>
      </c>
      <c r="X8" s="18"/>
    </row>
    <row r="9" spans="1:24" x14ac:dyDescent="0.2">
      <c r="A9" s="50">
        <v>5</v>
      </c>
      <c r="B9" s="51" t="s">
        <v>148</v>
      </c>
      <c r="C9" s="57" t="s">
        <v>306</v>
      </c>
      <c r="D9" s="53" t="s">
        <v>307</v>
      </c>
      <c r="E9" s="54" t="s">
        <v>295</v>
      </c>
      <c r="F9" s="55" t="s">
        <v>294</v>
      </c>
      <c r="G9" s="55"/>
      <c r="H9" s="56">
        <v>9917000672</v>
      </c>
      <c r="I9" s="18" t="s">
        <v>308</v>
      </c>
      <c r="J9" s="18"/>
      <c r="K9" s="18">
        <v>28.870401999999999</v>
      </c>
      <c r="L9" s="18">
        <v>77.541539999999998</v>
      </c>
      <c r="M9" s="18" t="s">
        <v>309</v>
      </c>
      <c r="N9" s="18"/>
      <c r="O9" s="18"/>
      <c r="P9" s="18"/>
      <c r="Q9" s="18"/>
      <c r="R9" s="58">
        <v>45806</v>
      </c>
      <c r="S9" s="18"/>
      <c r="T9" s="18">
        <v>3000</v>
      </c>
      <c r="U9" s="55">
        <f t="shared" si="0"/>
        <v>833</v>
      </c>
      <c r="V9" s="18">
        <v>49</v>
      </c>
      <c r="W9" s="18">
        <v>17</v>
      </c>
      <c r="X9" s="18"/>
    </row>
    <row r="10" spans="1:24" x14ac:dyDescent="0.2">
      <c r="A10" s="50"/>
      <c r="B10" s="51"/>
      <c r="C10" s="57"/>
      <c r="D10" s="53"/>
      <c r="E10" s="54"/>
      <c r="F10" s="55"/>
      <c r="G10" s="55"/>
      <c r="H10" s="56"/>
      <c r="I10" s="18" t="s">
        <v>308</v>
      </c>
      <c r="J10" s="18"/>
      <c r="K10" s="18">
        <v>28.870342999999998</v>
      </c>
      <c r="L10" s="18">
        <v>77.541742999999997</v>
      </c>
      <c r="M10" s="18" t="s">
        <v>310</v>
      </c>
      <c r="N10" s="18"/>
      <c r="O10" s="18"/>
      <c r="P10" s="18"/>
      <c r="Q10" s="18"/>
      <c r="R10" s="58">
        <v>45806</v>
      </c>
      <c r="S10" s="18"/>
      <c r="T10" s="18"/>
      <c r="U10" s="55">
        <f t="shared" si="0"/>
        <v>918</v>
      </c>
      <c r="V10" s="18">
        <v>51</v>
      </c>
      <c r="W10" s="18">
        <v>18</v>
      </c>
      <c r="X10" s="18"/>
    </row>
    <row r="11" spans="1:24" x14ac:dyDescent="0.2">
      <c r="A11" s="50"/>
      <c r="B11" s="51"/>
      <c r="C11" s="57"/>
      <c r="D11" s="53"/>
      <c r="E11" s="54"/>
      <c r="F11" s="55"/>
      <c r="G11" s="55"/>
      <c r="H11" s="56"/>
      <c r="I11" s="18" t="s">
        <v>308</v>
      </c>
      <c r="J11" s="18"/>
      <c r="K11" s="18">
        <v>28.835408000000001</v>
      </c>
      <c r="L11" s="18">
        <v>77.588029000000006</v>
      </c>
      <c r="M11" s="18" t="s">
        <v>311</v>
      </c>
      <c r="N11" s="18"/>
      <c r="O11" s="18"/>
      <c r="P11" s="18"/>
      <c r="Q11" s="18"/>
      <c r="R11" s="58">
        <v>45807</v>
      </c>
      <c r="S11" s="18"/>
      <c r="T11" s="18"/>
      <c r="U11" s="55">
        <f t="shared" si="0"/>
        <v>732</v>
      </c>
      <c r="V11" s="18">
        <v>61</v>
      </c>
      <c r="W11" s="18">
        <v>12</v>
      </c>
      <c r="X11" s="18"/>
    </row>
    <row r="12" spans="1:24" x14ac:dyDescent="0.2">
      <c r="A12" s="50"/>
      <c r="B12" s="51"/>
      <c r="C12" s="57"/>
      <c r="D12" s="53"/>
      <c r="E12" s="54"/>
      <c r="F12" s="55"/>
      <c r="G12" s="55"/>
      <c r="H12" s="56"/>
      <c r="I12" s="18" t="s">
        <v>308</v>
      </c>
      <c r="J12" s="18"/>
      <c r="K12" s="18">
        <v>28.835747999999999</v>
      </c>
      <c r="L12" s="18">
        <v>77.590061000000006</v>
      </c>
      <c r="M12" s="18" t="s">
        <v>312</v>
      </c>
      <c r="N12" s="18"/>
      <c r="O12" s="18"/>
      <c r="P12" s="18"/>
      <c r="Q12" s="18"/>
      <c r="R12" s="58">
        <v>45807</v>
      </c>
      <c r="S12" s="18"/>
      <c r="T12" s="18"/>
      <c r="U12" s="55">
        <f t="shared" si="0"/>
        <v>1105</v>
      </c>
      <c r="V12" s="18">
        <v>65</v>
      </c>
      <c r="W12" s="18">
        <v>17</v>
      </c>
      <c r="X12" s="18"/>
    </row>
    <row r="13" spans="1:24" x14ac:dyDescent="0.2">
      <c r="A13" s="50">
        <v>6</v>
      </c>
      <c r="B13" s="51" t="s">
        <v>148</v>
      </c>
      <c r="C13" s="57" t="s">
        <v>313</v>
      </c>
      <c r="D13" s="53" t="s">
        <v>314</v>
      </c>
      <c r="E13" s="54" t="s">
        <v>295</v>
      </c>
      <c r="F13" s="55" t="s">
        <v>294</v>
      </c>
      <c r="G13" s="55"/>
      <c r="H13" s="56">
        <v>9811041672</v>
      </c>
      <c r="I13" s="18"/>
      <c r="J13" s="18"/>
      <c r="K13" s="18"/>
      <c r="L13" s="18"/>
      <c r="M13" s="18" t="s">
        <v>315</v>
      </c>
      <c r="N13" s="18"/>
      <c r="O13" s="18"/>
      <c r="P13" s="18"/>
      <c r="Q13" s="18"/>
      <c r="R13" s="18"/>
      <c r="S13" s="18"/>
      <c r="T13" s="18">
        <v>3000</v>
      </c>
      <c r="U13" s="55">
        <f t="shared" si="0"/>
        <v>156</v>
      </c>
      <c r="V13" s="18">
        <v>13</v>
      </c>
      <c r="W13" s="18">
        <v>12</v>
      </c>
      <c r="X13" s="18"/>
    </row>
    <row r="14" spans="1:24" x14ac:dyDescent="0.2">
      <c r="A14" s="50"/>
      <c r="B14" s="51"/>
      <c r="C14" s="57"/>
      <c r="D14" s="53"/>
      <c r="E14" s="54"/>
      <c r="F14" s="55"/>
      <c r="G14" s="55"/>
      <c r="H14" s="56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55">
        <f t="shared" si="0"/>
        <v>195</v>
      </c>
      <c r="V14" s="18">
        <v>15</v>
      </c>
      <c r="W14" s="18">
        <v>13</v>
      </c>
      <c r="X14" s="18"/>
    </row>
    <row r="15" spans="1:24" x14ac:dyDescent="0.2">
      <c r="A15" s="50"/>
      <c r="B15" s="51"/>
      <c r="C15" s="57"/>
      <c r="D15" s="53"/>
      <c r="E15" s="54"/>
      <c r="F15" s="55"/>
      <c r="G15" s="55"/>
      <c r="H15" s="56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55">
        <f t="shared" si="0"/>
        <v>90</v>
      </c>
      <c r="V15" s="18">
        <v>15</v>
      </c>
      <c r="W15" s="18">
        <v>6</v>
      </c>
      <c r="X15" s="18"/>
    </row>
    <row r="16" spans="1:24" x14ac:dyDescent="0.2">
      <c r="A16" s="50"/>
      <c r="B16" s="51"/>
      <c r="C16" s="57"/>
      <c r="D16" s="53"/>
      <c r="E16" s="54"/>
      <c r="F16" s="55"/>
      <c r="G16" s="55"/>
      <c r="H16" s="56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55">
        <f t="shared" si="0"/>
        <v>27</v>
      </c>
      <c r="V16" s="18">
        <v>9</v>
      </c>
      <c r="W16" s="18">
        <v>3</v>
      </c>
      <c r="X16" s="18"/>
    </row>
    <row r="17" spans="1:24" x14ac:dyDescent="0.2">
      <c r="A17" s="50">
        <v>7</v>
      </c>
      <c r="B17" s="51" t="s">
        <v>148</v>
      </c>
      <c r="C17" s="57" t="s">
        <v>316</v>
      </c>
      <c r="D17" s="53" t="s">
        <v>317</v>
      </c>
      <c r="E17" s="54" t="s">
        <v>295</v>
      </c>
      <c r="F17" s="55" t="s">
        <v>294</v>
      </c>
      <c r="G17" s="55"/>
      <c r="H17" s="56">
        <v>9810295380</v>
      </c>
      <c r="I17" s="18"/>
      <c r="J17" s="18"/>
      <c r="K17" s="18"/>
      <c r="L17" s="18"/>
      <c r="M17" s="18" t="s">
        <v>318</v>
      </c>
      <c r="N17" s="18"/>
      <c r="O17" s="18"/>
      <c r="P17" s="18"/>
      <c r="Q17" s="18"/>
      <c r="R17" s="18"/>
      <c r="S17" s="18"/>
      <c r="T17" s="18">
        <v>3000</v>
      </c>
      <c r="U17" s="55">
        <f t="shared" si="0"/>
        <v>476</v>
      </c>
      <c r="V17" s="18">
        <v>34</v>
      </c>
      <c r="W17" s="18">
        <v>14</v>
      </c>
      <c r="X17" s="18"/>
    </row>
    <row r="18" spans="1:24" x14ac:dyDescent="0.2">
      <c r="A18" s="50"/>
      <c r="B18" s="51"/>
      <c r="C18" s="57"/>
      <c r="D18" s="53"/>
      <c r="E18" s="54"/>
      <c r="F18" s="55"/>
      <c r="G18" s="55"/>
      <c r="H18" s="56"/>
      <c r="I18" s="18"/>
      <c r="J18" s="18"/>
      <c r="K18" s="18"/>
      <c r="L18" s="18"/>
      <c r="M18" s="18" t="s">
        <v>319</v>
      </c>
      <c r="N18" s="18"/>
      <c r="O18" s="18"/>
      <c r="P18" s="18"/>
      <c r="Q18" s="18"/>
      <c r="R18" s="18"/>
      <c r="S18" s="18"/>
      <c r="T18" s="18"/>
      <c r="U18" s="55">
        <f t="shared" si="0"/>
        <v>1610</v>
      </c>
      <c r="V18" s="18">
        <v>115</v>
      </c>
      <c r="W18" s="18">
        <v>14</v>
      </c>
      <c r="X18" s="18"/>
    </row>
    <row r="19" spans="1:24" x14ac:dyDescent="0.2">
      <c r="A19" s="50"/>
      <c r="B19" s="51"/>
      <c r="C19" s="57"/>
      <c r="D19" s="53"/>
      <c r="E19" s="54"/>
      <c r="F19" s="55"/>
      <c r="G19" s="55"/>
      <c r="H19" s="56"/>
      <c r="I19" s="18"/>
      <c r="J19" s="18"/>
      <c r="K19" s="18"/>
      <c r="L19" s="18"/>
      <c r="M19" s="18" t="s">
        <v>320</v>
      </c>
      <c r="N19" s="18"/>
      <c r="O19" s="18"/>
      <c r="P19" s="18"/>
      <c r="Q19" s="18"/>
      <c r="R19" s="18"/>
      <c r="S19" s="18"/>
      <c r="T19" s="18"/>
      <c r="U19" s="55">
        <f t="shared" si="0"/>
        <v>931.5</v>
      </c>
      <c r="V19" s="18">
        <v>69</v>
      </c>
      <c r="W19" s="18">
        <v>13.5</v>
      </c>
      <c r="X19" s="18"/>
    </row>
    <row r="20" spans="1:24" x14ac:dyDescent="0.2">
      <c r="A20" s="50"/>
      <c r="B20" s="51"/>
      <c r="C20" s="57"/>
      <c r="D20" s="53"/>
      <c r="E20" s="54"/>
      <c r="F20" s="55"/>
      <c r="G20" s="55"/>
      <c r="H20" s="56"/>
      <c r="I20" s="18"/>
      <c r="J20" s="18"/>
      <c r="K20" s="18"/>
      <c r="L20" s="18"/>
      <c r="M20" s="18" t="s">
        <v>315</v>
      </c>
      <c r="N20" s="18"/>
      <c r="O20" s="18"/>
      <c r="P20" s="18"/>
      <c r="Q20" s="18"/>
      <c r="R20" s="18"/>
      <c r="S20" s="18"/>
      <c r="T20" s="18"/>
      <c r="U20" s="55">
        <f t="shared" si="0"/>
        <v>434</v>
      </c>
      <c r="V20" s="18">
        <v>31</v>
      </c>
      <c r="W20" s="18">
        <v>14</v>
      </c>
      <c r="X20" s="18"/>
    </row>
    <row r="21" spans="1:24" x14ac:dyDescent="0.2">
      <c r="A21" s="50"/>
      <c r="B21" s="51"/>
      <c r="C21" s="57"/>
      <c r="D21" s="53"/>
      <c r="E21" s="54"/>
      <c r="F21" s="55"/>
      <c r="G21" s="55"/>
      <c r="H21" s="56"/>
      <c r="I21" s="18"/>
      <c r="J21" s="18"/>
      <c r="K21" s="18"/>
      <c r="L21" s="18"/>
      <c r="M21" s="18" t="s">
        <v>315</v>
      </c>
      <c r="N21" s="18"/>
      <c r="O21" s="18"/>
      <c r="P21" s="18"/>
      <c r="Q21" s="18"/>
      <c r="R21" s="18"/>
      <c r="S21" s="18"/>
      <c r="T21" s="18"/>
      <c r="U21" s="55">
        <f t="shared" si="0"/>
        <v>40</v>
      </c>
      <c r="V21" s="18">
        <v>10</v>
      </c>
      <c r="W21" s="18">
        <v>4</v>
      </c>
      <c r="X21" s="18"/>
    </row>
    <row r="22" spans="1:24" ht="28" x14ac:dyDescent="0.2">
      <c r="A22" s="50">
        <v>8</v>
      </c>
      <c r="B22" s="51" t="s">
        <v>148</v>
      </c>
      <c r="C22" s="57" t="s">
        <v>321</v>
      </c>
      <c r="D22" s="53" t="s">
        <v>322</v>
      </c>
      <c r="E22" s="54" t="s">
        <v>295</v>
      </c>
      <c r="F22" s="55" t="s">
        <v>294</v>
      </c>
      <c r="G22" s="55"/>
      <c r="H22" s="56">
        <v>9810539685</v>
      </c>
      <c r="I22" s="18" t="s">
        <v>110</v>
      </c>
      <c r="J22" s="18"/>
      <c r="K22" s="18">
        <v>28.551089000000001</v>
      </c>
      <c r="L22" s="18">
        <v>77.554934000000003</v>
      </c>
      <c r="M22" s="18" t="s">
        <v>323</v>
      </c>
      <c r="N22" s="18"/>
      <c r="O22" s="18"/>
      <c r="P22" s="18"/>
      <c r="Q22" s="18"/>
      <c r="R22" s="18"/>
      <c r="S22" s="18"/>
      <c r="T22" s="18">
        <v>3000</v>
      </c>
      <c r="U22" s="55">
        <f t="shared" si="0"/>
        <v>731</v>
      </c>
      <c r="V22" s="18">
        <v>43</v>
      </c>
      <c r="W22" s="18">
        <v>17</v>
      </c>
      <c r="X22" s="18"/>
    </row>
    <row r="23" spans="1:24" x14ac:dyDescent="0.2">
      <c r="A23" s="50"/>
      <c r="B23" s="51"/>
      <c r="C23" s="57"/>
      <c r="D23" s="53"/>
      <c r="E23" s="54"/>
      <c r="F23" s="55"/>
      <c r="G23" s="55"/>
      <c r="H23" s="56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55">
        <f t="shared" si="0"/>
        <v>256</v>
      </c>
      <c r="V23" s="18">
        <v>16</v>
      </c>
      <c r="W23" s="18">
        <v>16</v>
      </c>
      <c r="X23" s="18"/>
    </row>
    <row r="24" spans="1:24" x14ac:dyDescent="0.2">
      <c r="A24" s="50"/>
      <c r="B24" s="51"/>
      <c r="C24" s="57"/>
      <c r="D24" s="53"/>
      <c r="E24" s="54"/>
      <c r="F24" s="55"/>
      <c r="G24" s="55"/>
      <c r="H24" s="56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55">
        <f t="shared" si="0"/>
        <v>90</v>
      </c>
      <c r="V24" s="18">
        <v>15</v>
      </c>
      <c r="W24" s="18">
        <v>6</v>
      </c>
      <c r="X24" s="18"/>
    </row>
    <row r="25" spans="1:24" x14ac:dyDescent="0.2">
      <c r="A25" s="50"/>
      <c r="B25" s="51"/>
      <c r="C25" s="57"/>
      <c r="D25" s="53"/>
      <c r="E25" s="54"/>
      <c r="F25" s="55"/>
      <c r="G25" s="55"/>
      <c r="H25" s="56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55">
        <f t="shared" si="0"/>
        <v>629</v>
      </c>
      <c r="V25" s="18">
        <v>37</v>
      </c>
      <c r="W25" s="18">
        <v>17</v>
      </c>
      <c r="X25" s="18"/>
    </row>
    <row r="26" spans="1:24" x14ac:dyDescent="0.2">
      <c r="A26" s="50"/>
      <c r="B26" s="51"/>
      <c r="C26" s="57"/>
      <c r="D26" s="53"/>
      <c r="E26" s="54"/>
      <c r="F26" s="55"/>
      <c r="G26" s="55"/>
      <c r="H26" s="56"/>
      <c r="I26" s="18"/>
      <c r="J26" s="18"/>
      <c r="K26" s="18"/>
      <c r="L26" s="18"/>
      <c r="M26" s="18" t="s">
        <v>324</v>
      </c>
      <c r="N26" s="18"/>
      <c r="O26" s="18"/>
      <c r="P26" s="18"/>
      <c r="Q26" s="18"/>
      <c r="R26" s="18"/>
      <c r="S26" s="18"/>
      <c r="T26" s="18"/>
      <c r="U26" s="55">
        <f t="shared" si="0"/>
        <v>1860</v>
      </c>
      <c r="V26" s="18">
        <v>93</v>
      </c>
      <c r="W26" s="18">
        <v>20</v>
      </c>
      <c r="X26" s="18"/>
    </row>
    <row r="27" spans="1:24" x14ac:dyDescent="0.2">
      <c r="A27" s="50"/>
      <c r="B27" s="51"/>
      <c r="C27" s="57"/>
      <c r="D27" s="53"/>
      <c r="E27" s="54"/>
      <c r="F27" s="55"/>
      <c r="G27" s="55"/>
      <c r="H27" s="56"/>
      <c r="I27" s="18"/>
      <c r="J27" s="18"/>
      <c r="K27" s="18"/>
      <c r="L27" s="18"/>
      <c r="M27" s="18" t="s">
        <v>325</v>
      </c>
      <c r="N27" s="18"/>
      <c r="O27" s="18"/>
      <c r="P27" s="18"/>
      <c r="Q27" s="18"/>
      <c r="R27" s="18"/>
      <c r="S27" s="18"/>
      <c r="T27" s="18"/>
      <c r="U27" s="55">
        <f t="shared" si="0"/>
        <v>396</v>
      </c>
      <c r="V27" s="18">
        <v>22</v>
      </c>
      <c r="W27" s="18">
        <v>18</v>
      </c>
      <c r="X27" s="18"/>
    </row>
    <row r="28" spans="1:24" x14ac:dyDescent="0.2">
      <c r="A28" s="41">
        <v>9</v>
      </c>
      <c r="B28" s="46" t="s">
        <v>148</v>
      </c>
      <c r="C28" s="47" t="s">
        <v>326</v>
      </c>
      <c r="D28" s="48" t="s">
        <v>327</v>
      </c>
      <c r="E28" s="44" t="s">
        <v>295</v>
      </c>
      <c r="F28" s="49" t="s">
        <v>294</v>
      </c>
      <c r="G28" s="49"/>
      <c r="H28" s="47">
        <v>9999224685</v>
      </c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9">
        <f t="shared" si="0"/>
        <v>0</v>
      </c>
      <c r="V28" s="45"/>
      <c r="W28" s="45"/>
      <c r="X28" s="45" t="s">
        <v>379</v>
      </c>
    </row>
    <row r="29" spans="1:24" ht="29" x14ac:dyDescent="0.2">
      <c r="A29" s="50">
        <v>10</v>
      </c>
      <c r="B29" s="51" t="s">
        <v>148</v>
      </c>
      <c r="C29" s="57" t="s">
        <v>328</v>
      </c>
      <c r="D29" s="53" t="s">
        <v>329</v>
      </c>
      <c r="E29" s="54" t="s">
        <v>295</v>
      </c>
      <c r="F29" s="55" t="s">
        <v>294</v>
      </c>
      <c r="G29" s="55"/>
      <c r="H29" s="56">
        <v>9312572426</v>
      </c>
      <c r="I29" s="18"/>
      <c r="J29" s="18"/>
      <c r="K29" s="18"/>
      <c r="L29" s="18"/>
      <c r="M29" s="18" t="s">
        <v>330</v>
      </c>
      <c r="N29" s="18"/>
      <c r="O29" s="18"/>
      <c r="P29" s="18"/>
      <c r="Q29" s="18"/>
      <c r="R29" s="18"/>
      <c r="S29" s="18"/>
      <c r="T29" s="18">
        <v>3000</v>
      </c>
      <c r="U29" s="55">
        <f t="shared" si="0"/>
        <v>1330</v>
      </c>
      <c r="V29" s="18">
        <v>95</v>
      </c>
      <c r="W29" s="18">
        <v>14</v>
      </c>
      <c r="X29" s="18"/>
    </row>
    <row r="30" spans="1:24" x14ac:dyDescent="0.2">
      <c r="A30" s="50"/>
      <c r="B30" s="51"/>
      <c r="C30" s="57"/>
      <c r="D30" s="53"/>
      <c r="E30" s="54"/>
      <c r="F30" s="55"/>
      <c r="G30" s="55"/>
      <c r="H30" s="56"/>
      <c r="I30" s="18"/>
      <c r="J30" s="18"/>
      <c r="K30" s="18"/>
      <c r="L30" s="18"/>
      <c r="M30" s="18" t="s">
        <v>331</v>
      </c>
      <c r="N30" s="18"/>
      <c r="O30" s="18"/>
      <c r="P30" s="18"/>
      <c r="Q30" s="18"/>
      <c r="R30" s="18"/>
      <c r="S30" s="18"/>
      <c r="T30" s="18"/>
      <c r="U30" s="55">
        <f t="shared" si="0"/>
        <v>896</v>
      </c>
      <c r="V30" s="18">
        <v>64</v>
      </c>
      <c r="W30" s="18">
        <v>14</v>
      </c>
      <c r="X30" s="18"/>
    </row>
    <row r="31" spans="1:24" x14ac:dyDescent="0.2">
      <c r="A31" s="50">
        <v>11</v>
      </c>
      <c r="B31" s="51" t="s">
        <v>148</v>
      </c>
      <c r="C31" s="56" t="s">
        <v>332</v>
      </c>
      <c r="D31" s="53" t="s">
        <v>333</v>
      </c>
      <c r="E31" s="54" t="s">
        <v>295</v>
      </c>
      <c r="F31" s="55" t="s">
        <v>294</v>
      </c>
      <c r="G31" s="55"/>
      <c r="H31" s="56">
        <v>9897835177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>
        <v>3000</v>
      </c>
      <c r="U31" s="55">
        <f t="shared" si="0"/>
        <v>0</v>
      </c>
      <c r="V31" s="18"/>
      <c r="W31" s="18"/>
      <c r="X31" s="18"/>
    </row>
    <row r="32" spans="1:24" ht="29" x14ac:dyDescent="0.2">
      <c r="A32" s="50">
        <v>12</v>
      </c>
      <c r="B32" s="51" t="s">
        <v>148</v>
      </c>
      <c r="C32" s="47" t="s">
        <v>334</v>
      </c>
      <c r="D32" s="53" t="s">
        <v>335</v>
      </c>
      <c r="E32" s="54" t="s">
        <v>295</v>
      </c>
      <c r="F32" s="55" t="s">
        <v>294</v>
      </c>
      <c r="G32" s="55"/>
      <c r="H32" s="53">
        <v>9811116457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336</v>
      </c>
      <c r="T32" s="18">
        <v>3000</v>
      </c>
      <c r="U32" s="55">
        <f t="shared" si="0"/>
        <v>0</v>
      </c>
      <c r="V32" s="18"/>
      <c r="W32" s="18"/>
      <c r="X32" s="18"/>
    </row>
    <row r="33" spans="1:24" x14ac:dyDescent="0.2">
      <c r="A33" s="50">
        <v>13</v>
      </c>
      <c r="B33" s="51" t="s">
        <v>148</v>
      </c>
      <c r="C33" s="57" t="s">
        <v>337</v>
      </c>
      <c r="D33" s="53" t="s">
        <v>338</v>
      </c>
      <c r="E33" s="54" t="s">
        <v>295</v>
      </c>
      <c r="F33" s="55" t="s">
        <v>294</v>
      </c>
      <c r="G33" s="55"/>
      <c r="H33" s="53">
        <v>9899171135</v>
      </c>
      <c r="I33" s="18" t="s">
        <v>339</v>
      </c>
      <c r="J33" s="18"/>
      <c r="K33" s="18">
        <v>28.646134</v>
      </c>
      <c r="L33" s="18">
        <v>77.454119000000006</v>
      </c>
      <c r="M33" s="18" t="s">
        <v>340</v>
      </c>
      <c r="N33" s="18"/>
      <c r="O33" s="18"/>
      <c r="P33" s="18"/>
      <c r="Q33" s="18"/>
      <c r="R33" s="18"/>
      <c r="S33" s="18"/>
      <c r="T33" s="18">
        <v>3000</v>
      </c>
      <c r="U33" s="55">
        <f t="shared" si="0"/>
        <v>1232</v>
      </c>
      <c r="V33" s="18">
        <v>112</v>
      </c>
      <c r="W33" s="18">
        <v>11</v>
      </c>
      <c r="X33" s="18"/>
    </row>
    <row r="34" spans="1:24" x14ac:dyDescent="0.2">
      <c r="A34" s="50"/>
      <c r="B34" s="51"/>
      <c r="C34" s="57"/>
      <c r="D34" s="53"/>
      <c r="E34" s="54"/>
      <c r="F34" s="55"/>
      <c r="G34" s="55"/>
      <c r="H34" s="53"/>
      <c r="I34" s="18"/>
      <c r="J34" s="18"/>
      <c r="K34" s="18">
        <v>28.646134</v>
      </c>
      <c r="L34" s="18">
        <v>77.454119000000006</v>
      </c>
      <c r="M34" s="18" t="s">
        <v>341</v>
      </c>
      <c r="N34" s="18"/>
      <c r="O34" s="18"/>
      <c r="P34" s="18"/>
      <c r="Q34" s="18"/>
      <c r="R34" s="18"/>
      <c r="S34" s="18"/>
      <c r="T34" s="18"/>
      <c r="U34" s="55">
        <f t="shared" si="0"/>
        <v>1672</v>
      </c>
      <c r="V34" s="18">
        <v>88</v>
      </c>
      <c r="W34" s="18">
        <v>19</v>
      </c>
      <c r="X34" s="18"/>
    </row>
    <row r="35" spans="1:24" x14ac:dyDescent="0.2">
      <c r="A35" s="50"/>
      <c r="B35" s="51"/>
      <c r="C35" s="57"/>
      <c r="D35" s="53"/>
      <c r="E35" s="54"/>
      <c r="F35" s="55"/>
      <c r="G35" s="55"/>
      <c r="H35" s="53"/>
      <c r="I35" s="18"/>
      <c r="J35" s="18"/>
      <c r="K35" s="18">
        <v>28.646115000000002</v>
      </c>
      <c r="L35" s="18">
        <v>77.454093</v>
      </c>
      <c r="M35" s="18" t="s">
        <v>342</v>
      </c>
      <c r="N35" s="18"/>
      <c r="O35" s="18"/>
      <c r="P35" s="18"/>
      <c r="Q35" s="18"/>
      <c r="R35" s="18"/>
      <c r="S35" s="18"/>
      <c r="T35" s="18"/>
      <c r="U35" s="55">
        <f t="shared" si="0"/>
        <v>630</v>
      </c>
      <c r="V35" s="18">
        <v>42</v>
      </c>
      <c r="W35" s="18">
        <v>15</v>
      </c>
      <c r="X35" s="18"/>
    </row>
    <row r="36" spans="1:24" x14ac:dyDescent="0.2">
      <c r="A36" s="50"/>
      <c r="B36" s="51"/>
      <c r="C36" s="57"/>
      <c r="D36" s="53"/>
      <c r="E36" s="54"/>
      <c r="F36" s="55"/>
      <c r="G36" s="55"/>
      <c r="H36" s="53"/>
      <c r="I36" s="18"/>
      <c r="J36" s="18"/>
      <c r="K36" s="18">
        <v>28.646115000000002</v>
      </c>
      <c r="L36" s="18">
        <v>77.454093</v>
      </c>
      <c r="M36" s="18" t="s">
        <v>343</v>
      </c>
      <c r="N36" s="18"/>
      <c r="O36" s="18"/>
      <c r="P36" s="18"/>
      <c r="Q36" s="18"/>
      <c r="R36" s="18"/>
      <c r="S36" s="18"/>
      <c r="T36" s="18"/>
      <c r="U36" s="55">
        <f t="shared" si="0"/>
        <v>270</v>
      </c>
      <c r="V36" s="18">
        <v>30</v>
      </c>
      <c r="W36" s="18">
        <v>9</v>
      </c>
      <c r="X36" s="18"/>
    </row>
    <row r="37" spans="1:24" x14ac:dyDescent="0.2">
      <c r="A37" s="50">
        <v>14</v>
      </c>
      <c r="B37" s="51" t="s">
        <v>148</v>
      </c>
      <c r="C37" s="56" t="s">
        <v>344</v>
      </c>
      <c r="D37" s="53" t="s">
        <v>345</v>
      </c>
      <c r="E37" s="54" t="s">
        <v>295</v>
      </c>
      <c r="F37" s="55" t="s">
        <v>294</v>
      </c>
      <c r="G37" s="55"/>
      <c r="H37" s="53">
        <v>98108003320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296</v>
      </c>
      <c r="T37" s="18">
        <v>3000</v>
      </c>
      <c r="U37" s="55">
        <f t="shared" si="0"/>
        <v>0</v>
      </c>
      <c r="V37" s="18"/>
      <c r="W37" s="18"/>
      <c r="X37" s="18"/>
    </row>
    <row r="38" spans="1:24" ht="28" x14ac:dyDescent="0.2">
      <c r="A38" s="50">
        <v>15</v>
      </c>
      <c r="B38" s="51" t="s">
        <v>148</v>
      </c>
      <c r="C38" s="57" t="s">
        <v>346</v>
      </c>
      <c r="D38" s="53" t="s">
        <v>347</v>
      </c>
      <c r="E38" s="54" t="s">
        <v>295</v>
      </c>
      <c r="F38" s="55" t="s">
        <v>294</v>
      </c>
      <c r="G38" s="55"/>
      <c r="H38" s="53">
        <v>9810021885</v>
      </c>
      <c r="I38" s="18"/>
      <c r="J38" s="18"/>
      <c r="K38" s="18"/>
      <c r="L38" s="18"/>
      <c r="M38" s="18" t="s">
        <v>348</v>
      </c>
      <c r="N38" s="18"/>
      <c r="O38" s="18"/>
      <c r="P38" s="18"/>
      <c r="Q38" s="18"/>
      <c r="R38" s="18"/>
      <c r="S38" s="18"/>
      <c r="T38" s="18">
        <v>3000</v>
      </c>
      <c r="U38" s="55">
        <f t="shared" si="0"/>
        <v>1260</v>
      </c>
      <c r="V38" s="18">
        <v>90</v>
      </c>
      <c r="W38" s="18">
        <v>14</v>
      </c>
      <c r="X38" s="18"/>
    </row>
    <row r="39" spans="1:24" x14ac:dyDescent="0.2">
      <c r="A39" s="50"/>
      <c r="B39" s="51"/>
      <c r="C39" s="57"/>
      <c r="D39" s="53"/>
      <c r="E39" s="54"/>
      <c r="F39" s="55"/>
      <c r="G39" s="55"/>
      <c r="H39" s="53"/>
      <c r="I39" s="18"/>
      <c r="J39" s="18"/>
      <c r="K39" s="18"/>
      <c r="L39" s="18"/>
      <c r="M39" s="18" t="s">
        <v>349</v>
      </c>
      <c r="N39" s="18"/>
      <c r="O39" s="18"/>
      <c r="P39" s="18"/>
      <c r="Q39" s="18"/>
      <c r="R39" s="18"/>
      <c r="S39" s="18"/>
      <c r="T39" s="18"/>
      <c r="U39" s="55">
        <f t="shared" si="0"/>
        <v>416</v>
      </c>
      <c r="V39" s="18">
        <v>32</v>
      </c>
      <c r="W39" s="18">
        <v>13</v>
      </c>
      <c r="X39" s="18"/>
    </row>
    <row r="40" spans="1:24" x14ac:dyDescent="0.2">
      <c r="A40" s="50"/>
      <c r="B40" s="51"/>
      <c r="C40" s="57"/>
      <c r="D40" s="53"/>
      <c r="E40" s="54"/>
      <c r="F40" s="55"/>
      <c r="G40" s="55"/>
      <c r="H40" s="53"/>
      <c r="I40" s="18"/>
      <c r="J40" s="18"/>
      <c r="K40" s="18"/>
      <c r="L40" s="18"/>
      <c r="M40" s="18" t="s">
        <v>350</v>
      </c>
      <c r="N40" s="18"/>
      <c r="O40" s="18"/>
      <c r="P40" s="18"/>
      <c r="Q40" s="18"/>
      <c r="R40" s="18"/>
      <c r="S40" s="18"/>
      <c r="T40" s="18"/>
      <c r="U40" s="55">
        <f t="shared" si="0"/>
        <v>644</v>
      </c>
      <c r="V40" s="18">
        <v>46</v>
      </c>
      <c r="W40" s="18">
        <v>14</v>
      </c>
      <c r="X40" s="18"/>
    </row>
    <row r="41" spans="1:24" x14ac:dyDescent="0.2">
      <c r="A41" s="50"/>
      <c r="B41" s="51"/>
      <c r="C41" s="57"/>
      <c r="D41" s="53"/>
      <c r="E41" s="54"/>
      <c r="F41" s="55"/>
      <c r="G41" s="55"/>
      <c r="H41" s="53"/>
      <c r="I41" s="18"/>
      <c r="J41" s="18"/>
      <c r="K41" s="18"/>
      <c r="L41" s="18"/>
      <c r="M41" s="18" t="s">
        <v>351</v>
      </c>
      <c r="N41" s="18"/>
      <c r="O41" s="18"/>
      <c r="P41" s="18"/>
      <c r="Q41" s="18"/>
      <c r="R41" s="18"/>
      <c r="S41" s="18"/>
      <c r="T41" s="18"/>
      <c r="U41" s="55">
        <f t="shared" si="0"/>
        <v>754</v>
      </c>
      <c r="V41" s="18">
        <v>58</v>
      </c>
      <c r="W41" s="18">
        <v>13</v>
      </c>
      <c r="X41" s="18"/>
    </row>
    <row r="42" spans="1:24" x14ac:dyDescent="0.2">
      <c r="A42" s="50"/>
      <c r="B42" s="51"/>
      <c r="C42" s="57"/>
      <c r="D42" s="53"/>
      <c r="E42" s="54"/>
      <c r="F42" s="55"/>
      <c r="G42" s="55"/>
      <c r="H42" s="53"/>
      <c r="I42" s="18"/>
      <c r="J42" s="18"/>
      <c r="K42" s="18"/>
      <c r="L42" s="18"/>
      <c r="M42" s="18" t="s">
        <v>352</v>
      </c>
      <c r="N42" s="18"/>
      <c r="O42" s="18"/>
      <c r="P42" s="18"/>
      <c r="Q42" s="18"/>
      <c r="R42" s="18"/>
      <c r="S42" s="18"/>
      <c r="T42" s="18"/>
      <c r="U42" s="55">
        <f t="shared" si="0"/>
        <v>420</v>
      </c>
      <c r="V42" s="18">
        <v>30</v>
      </c>
      <c r="W42" s="18">
        <v>14</v>
      </c>
      <c r="X42" s="18"/>
    </row>
    <row r="43" spans="1:24" x14ac:dyDescent="0.2">
      <c r="A43" s="50"/>
      <c r="B43" s="51"/>
      <c r="C43" s="57"/>
      <c r="D43" s="53"/>
      <c r="E43" s="54"/>
      <c r="F43" s="55"/>
      <c r="G43" s="55"/>
      <c r="H43" s="53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55">
        <f t="shared" si="0"/>
        <v>130</v>
      </c>
      <c r="V43" s="18">
        <v>13</v>
      </c>
      <c r="W43" s="18">
        <v>10</v>
      </c>
      <c r="X43" s="18"/>
    </row>
    <row r="44" spans="1:24" x14ac:dyDescent="0.2">
      <c r="A44" s="41">
        <v>16</v>
      </c>
      <c r="B44" s="46" t="s">
        <v>148</v>
      </c>
      <c r="C44" s="47" t="s">
        <v>353</v>
      </c>
      <c r="D44" s="48" t="s">
        <v>354</v>
      </c>
      <c r="E44" s="44" t="s">
        <v>295</v>
      </c>
      <c r="F44" s="49" t="s">
        <v>294</v>
      </c>
      <c r="G44" s="49"/>
      <c r="H44" s="48">
        <v>9899954427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9">
        <f t="shared" si="0"/>
        <v>0</v>
      </c>
      <c r="V44" s="45"/>
      <c r="W44" s="45"/>
      <c r="X44" s="45" t="s">
        <v>379</v>
      </c>
    </row>
    <row r="45" spans="1:24" x14ac:dyDescent="0.2">
      <c r="A45" s="50">
        <v>17</v>
      </c>
      <c r="B45" s="51" t="s">
        <v>148</v>
      </c>
      <c r="C45" s="57" t="s">
        <v>355</v>
      </c>
      <c r="D45" s="56" t="s">
        <v>356</v>
      </c>
      <c r="E45" s="54" t="s">
        <v>295</v>
      </c>
      <c r="F45" s="55" t="s">
        <v>294</v>
      </c>
      <c r="G45" s="55"/>
      <c r="H45" s="53">
        <v>9259529737</v>
      </c>
      <c r="I45" s="18" t="s">
        <v>308</v>
      </c>
      <c r="J45" s="18"/>
      <c r="K45" s="18">
        <v>28.850472</v>
      </c>
      <c r="L45" s="18">
        <v>77.565948000000006</v>
      </c>
      <c r="M45" s="18" t="s">
        <v>357</v>
      </c>
      <c r="N45" s="18"/>
      <c r="O45" s="18"/>
      <c r="P45" s="18"/>
      <c r="Q45" s="18"/>
      <c r="R45" s="58">
        <v>45803</v>
      </c>
      <c r="S45" s="18"/>
      <c r="T45" s="18">
        <v>3000</v>
      </c>
      <c r="U45" s="55">
        <f t="shared" si="0"/>
        <v>3108</v>
      </c>
      <c r="V45" s="18">
        <v>222</v>
      </c>
      <c r="W45" s="18">
        <v>14</v>
      </c>
      <c r="X45" s="18"/>
    </row>
    <row r="46" spans="1:24" x14ac:dyDescent="0.2">
      <c r="A46" s="50"/>
      <c r="B46" s="51"/>
      <c r="C46" s="57"/>
      <c r="D46" s="56"/>
      <c r="E46" s="54"/>
      <c r="F46" s="55"/>
      <c r="G46" s="55"/>
      <c r="H46" s="53"/>
      <c r="I46" s="18" t="s">
        <v>308</v>
      </c>
      <c r="J46" s="18"/>
      <c r="K46" s="18">
        <v>28.850472</v>
      </c>
      <c r="L46" s="18">
        <v>77.565948000000006</v>
      </c>
      <c r="M46" s="18" t="s">
        <v>358</v>
      </c>
      <c r="N46" s="18"/>
      <c r="O46" s="18"/>
      <c r="P46" s="18"/>
      <c r="Q46" s="18"/>
      <c r="R46" s="58">
        <v>45803</v>
      </c>
      <c r="S46" s="18"/>
      <c r="T46" s="18"/>
      <c r="U46" s="55">
        <f t="shared" si="0"/>
        <v>637.5</v>
      </c>
      <c r="V46" s="18">
        <v>51</v>
      </c>
      <c r="W46" s="18">
        <v>12.5</v>
      </c>
      <c r="X46" s="18"/>
    </row>
    <row r="47" spans="1:24" x14ac:dyDescent="0.2">
      <c r="A47" s="50">
        <v>18</v>
      </c>
      <c r="B47" s="51" t="s">
        <v>148</v>
      </c>
      <c r="C47" s="56" t="s">
        <v>359</v>
      </c>
      <c r="D47" s="59" t="s">
        <v>360</v>
      </c>
      <c r="E47" s="54" t="s">
        <v>295</v>
      </c>
      <c r="F47" s="55" t="s">
        <v>294</v>
      </c>
      <c r="G47" s="55"/>
      <c r="H47" s="55">
        <v>8447677996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>
        <v>3000</v>
      </c>
      <c r="U47" s="55">
        <f t="shared" si="0"/>
        <v>0</v>
      </c>
      <c r="V47" s="18"/>
      <c r="W47" s="18"/>
      <c r="X47" s="18"/>
    </row>
    <row r="48" spans="1:24" x14ac:dyDescent="0.2">
      <c r="A48" s="60"/>
      <c r="B48" s="61" t="s">
        <v>148</v>
      </c>
      <c r="C48" s="62" t="s">
        <v>361</v>
      </c>
      <c r="D48" s="63" t="s">
        <v>362</v>
      </c>
      <c r="E48" s="64" t="s">
        <v>363</v>
      </c>
      <c r="F48" s="65" t="s">
        <v>364</v>
      </c>
      <c r="G48" s="63"/>
      <c r="H48" s="66">
        <v>9811025179</v>
      </c>
      <c r="I48" s="63" t="s">
        <v>365</v>
      </c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>
        <v>3000</v>
      </c>
      <c r="U48" s="65">
        <f t="shared" si="0"/>
        <v>0</v>
      </c>
      <c r="V48" s="63"/>
      <c r="W48" s="63"/>
      <c r="X48" s="63" t="s">
        <v>380</v>
      </c>
    </row>
    <row r="49" spans="1:24" x14ac:dyDescent="0.2">
      <c r="A49" s="60"/>
      <c r="B49" s="61" t="s">
        <v>148</v>
      </c>
      <c r="C49" s="67" t="s">
        <v>366</v>
      </c>
      <c r="D49" s="63" t="s">
        <v>367</v>
      </c>
      <c r="E49" s="64" t="s">
        <v>295</v>
      </c>
      <c r="F49" s="65" t="s">
        <v>364</v>
      </c>
      <c r="G49" s="63"/>
      <c r="H49" s="66">
        <v>9810013804</v>
      </c>
      <c r="I49" s="63"/>
      <c r="J49" s="63"/>
      <c r="K49" s="63"/>
      <c r="L49" s="63"/>
      <c r="M49" s="63" t="s">
        <v>368</v>
      </c>
      <c r="N49" s="63"/>
      <c r="O49" s="63"/>
      <c r="P49" s="63"/>
      <c r="Q49" s="63"/>
      <c r="R49" s="63"/>
      <c r="S49" s="63"/>
      <c r="T49" s="63">
        <v>3000</v>
      </c>
      <c r="U49" s="65">
        <f t="shared" si="0"/>
        <v>323</v>
      </c>
      <c r="V49" s="63">
        <v>19</v>
      </c>
      <c r="W49" s="63">
        <v>17</v>
      </c>
      <c r="X49" s="63" t="s">
        <v>380</v>
      </c>
    </row>
    <row r="50" spans="1:24" x14ac:dyDescent="0.2">
      <c r="A50" s="60"/>
      <c r="B50" s="61" t="s">
        <v>148</v>
      </c>
      <c r="C50" s="62" t="s">
        <v>369</v>
      </c>
      <c r="D50" s="63" t="s">
        <v>370</v>
      </c>
      <c r="E50" s="64" t="s">
        <v>371</v>
      </c>
      <c r="F50" s="65" t="s">
        <v>364</v>
      </c>
      <c r="G50" s="63"/>
      <c r="H50" s="66">
        <v>9212003330</v>
      </c>
      <c r="I50" s="63" t="s">
        <v>370</v>
      </c>
      <c r="J50" s="63"/>
      <c r="K50" s="63"/>
      <c r="L50" s="63"/>
      <c r="M50" s="63" t="s">
        <v>315</v>
      </c>
      <c r="N50" s="63"/>
      <c r="O50" s="63"/>
      <c r="P50" s="63"/>
      <c r="Q50" s="63"/>
      <c r="R50" s="63"/>
      <c r="S50" s="63"/>
      <c r="T50" s="63">
        <v>3000</v>
      </c>
      <c r="U50" s="65">
        <f t="shared" si="0"/>
        <v>486</v>
      </c>
      <c r="V50" s="63">
        <v>27</v>
      </c>
      <c r="W50" s="63">
        <v>18</v>
      </c>
      <c r="X50" s="63" t="s">
        <v>380</v>
      </c>
    </row>
    <row r="51" spans="1:24" x14ac:dyDescent="0.2">
      <c r="A51" s="60"/>
      <c r="B51" s="61"/>
      <c r="C51" s="62"/>
      <c r="D51" s="63"/>
      <c r="E51" s="64"/>
      <c r="F51" s="65"/>
      <c r="G51" s="63"/>
      <c r="H51" s="66"/>
      <c r="I51" s="63"/>
      <c r="J51" s="63"/>
      <c r="K51" s="63"/>
      <c r="L51" s="63"/>
      <c r="M51" s="63" t="s">
        <v>372</v>
      </c>
      <c r="N51" s="63"/>
      <c r="O51" s="63"/>
      <c r="P51" s="63"/>
      <c r="Q51" s="63"/>
      <c r="R51" s="63"/>
      <c r="S51" s="63"/>
      <c r="T51" s="63"/>
      <c r="U51" s="65">
        <f t="shared" si="0"/>
        <v>432</v>
      </c>
      <c r="V51" s="63">
        <v>24</v>
      </c>
      <c r="W51" s="63">
        <v>18</v>
      </c>
      <c r="X51" s="63" t="s">
        <v>380</v>
      </c>
    </row>
    <row r="52" spans="1:24" x14ac:dyDescent="0.2">
      <c r="A52" s="60"/>
      <c r="B52" s="61"/>
      <c r="C52" s="62"/>
      <c r="D52" s="63"/>
      <c r="E52" s="64"/>
      <c r="F52" s="65"/>
      <c r="G52" s="63"/>
      <c r="H52" s="66"/>
      <c r="I52" s="63"/>
      <c r="J52" s="63"/>
      <c r="K52" s="63"/>
      <c r="L52" s="63"/>
      <c r="M52" s="63" t="s">
        <v>373</v>
      </c>
      <c r="N52" s="63"/>
      <c r="O52" s="63"/>
      <c r="P52" s="63"/>
      <c r="Q52" s="63"/>
      <c r="R52" s="63"/>
      <c r="S52" s="63"/>
      <c r="T52" s="63"/>
      <c r="U52" s="65">
        <f t="shared" si="0"/>
        <v>456</v>
      </c>
      <c r="V52" s="63">
        <v>38</v>
      </c>
      <c r="W52" s="63">
        <v>12</v>
      </c>
      <c r="X52" s="63" t="s">
        <v>380</v>
      </c>
    </row>
    <row r="53" spans="1:24" x14ac:dyDescent="0.2">
      <c r="A53" s="60"/>
      <c r="B53" s="61"/>
      <c r="C53" s="62"/>
      <c r="D53" s="63"/>
      <c r="E53" s="64"/>
      <c r="F53" s="65"/>
      <c r="G53" s="63"/>
      <c r="H53" s="66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5">
        <f t="shared" si="0"/>
        <v>440</v>
      </c>
      <c r="V53" s="63">
        <v>40</v>
      </c>
      <c r="W53" s="63">
        <v>11</v>
      </c>
      <c r="X53" s="63" t="s">
        <v>380</v>
      </c>
    </row>
    <row r="54" spans="1:24" x14ac:dyDescent="0.2">
      <c r="A54" s="60"/>
      <c r="B54" s="61"/>
      <c r="C54" s="62"/>
      <c r="D54" s="63"/>
      <c r="E54" s="64"/>
      <c r="F54" s="65"/>
      <c r="G54" s="63"/>
      <c r="H54" s="66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5">
        <f t="shared" si="0"/>
        <v>88</v>
      </c>
      <c r="V54" s="63">
        <v>8</v>
      </c>
      <c r="W54" s="63">
        <v>11</v>
      </c>
      <c r="X54" s="63" t="s">
        <v>380</v>
      </c>
    </row>
    <row r="55" spans="1:24" x14ac:dyDescent="0.2">
      <c r="A55" s="60"/>
      <c r="B55" s="61"/>
      <c r="C55" s="62"/>
      <c r="D55" s="63"/>
      <c r="E55" s="64"/>
      <c r="F55" s="65"/>
      <c r="G55" s="63"/>
      <c r="H55" s="66"/>
      <c r="I55" s="63"/>
      <c r="J55" s="63"/>
      <c r="K55" s="63"/>
      <c r="L55" s="63"/>
      <c r="M55" s="63" t="s">
        <v>374</v>
      </c>
      <c r="N55" s="63"/>
      <c r="O55" s="63"/>
      <c r="P55" s="63"/>
      <c r="Q55" s="63"/>
      <c r="R55" s="63"/>
      <c r="S55" s="63"/>
      <c r="T55" s="63"/>
      <c r="U55" s="65">
        <f t="shared" si="0"/>
        <v>280</v>
      </c>
      <c r="V55" s="63">
        <v>40</v>
      </c>
      <c r="W55" s="63">
        <v>7</v>
      </c>
      <c r="X55" s="63" t="s">
        <v>380</v>
      </c>
    </row>
    <row r="56" spans="1:24" x14ac:dyDescent="0.2">
      <c r="A56" s="60"/>
      <c r="B56" s="61"/>
      <c r="C56" s="62"/>
      <c r="D56" s="63"/>
      <c r="E56" s="64"/>
      <c r="F56" s="65"/>
      <c r="G56" s="63"/>
      <c r="H56" s="66"/>
      <c r="I56" s="63"/>
      <c r="J56" s="63"/>
      <c r="K56" s="63"/>
      <c r="L56" s="63"/>
      <c r="M56" s="63" t="s">
        <v>375</v>
      </c>
      <c r="N56" s="63"/>
      <c r="O56" s="63"/>
      <c r="P56" s="63"/>
      <c r="Q56" s="63"/>
      <c r="R56" s="63"/>
      <c r="S56" s="63"/>
      <c r="T56" s="63"/>
      <c r="U56" s="65">
        <f t="shared" si="0"/>
        <v>1056</v>
      </c>
      <c r="V56" s="63">
        <v>88</v>
      </c>
      <c r="W56" s="63">
        <v>12</v>
      </c>
      <c r="X56" s="63" t="s">
        <v>380</v>
      </c>
    </row>
    <row r="57" spans="1:24" x14ac:dyDescent="0.2">
      <c r="A57" s="60"/>
      <c r="B57" s="61"/>
      <c r="C57" s="62"/>
      <c r="D57" s="63"/>
      <c r="E57" s="64"/>
      <c r="F57" s="65"/>
      <c r="G57" s="63"/>
      <c r="H57" s="66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5">
        <f t="shared" si="0"/>
        <v>112</v>
      </c>
      <c r="V57" s="63">
        <v>16</v>
      </c>
      <c r="W57" s="63">
        <v>7</v>
      </c>
      <c r="X57" s="63" t="s">
        <v>380</v>
      </c>
    </row>
    <row r="58" spans="1:24" x14ac:dyDescent="0.2">
      <c r="A58" s="60"/>
      <c r="B58" s="61"/>
      <c r="C58" s="62"/>
      <c r="D58" s="63"/>
      <c r="E58" s="64"/>
      <c r="F58" s="65"/>
      <c r="G58" s="63"/>
      <c r="H58" s="66"/>
      <c r="I58" s="63"/>
      <c r="J58" s="63"/>
      <c r="K58" s="63"/>
      <c r="L58" s="63"/>
      <c r="M58" s="63" t="s">
        <v>376</v>
      </c>
      <c r="N58" s="63"/>
      <c r="O58" s="63"/>
      <c r="P58" s="63"/>
      <c r="Q58" s="63"/>
      <c r="R58" s="63"/>
      <c r="S58" s="63"/>
      <c r="T58" s="63"/>
      <c r="U58" s="65">
        <f t="shared" si="0"/>
        <v>290</v>
      </c>
      <c r="V58" s="63">
        <v>29</v>
      </c>
      <c r="W58" s="63">
        <v>10</v>
      </c>
      <c r="X58" s="63" t="s">
        <v>380</v>
      </c>
    </row>
    <row r="59" spans="1:24" x14ac:dyDescent="0.2">
      <c r="A59" s="60"/>
      <c r="B59" s="61"/>
      <c r="C59" s="62"/>
      <c r="D59" s="63"/>
      <c r="E59" s="64"/>
      <c r="F59" s="65"/>
      <c r="G59" s="63"/>
      <c r="H59" s="66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5">
        <f t="shared" si="0"/>
        <v>0</v>
      </c>
      <c r="V59" s="63"/>
      <c r="W59" s="63"/>
      <c r="X59" s="63" t="s">
        <v>380</v>
      </c>
    </row>
    <row r="60" spans="1:24" x14ac:dyDescent="0.2">
      <c r="A60" s="60"/>
      <c r="B60" s="61" t="s">
        <v>148</v>
      </c>
      <c r="C60" s="62" t="s">
        <v>377</v>
      </c>
      <c r="D60" s="63" t="s">
        <v>370</v>
      </c>
      <c r="E60" s="64" t="s">
        <v>295</v>
      </c>
      <c r="F60" s="65" t="s">
        <v>364</v>
      </c>
      <c r="G60" s="63"/>
      <c r="H60" s="66">
        <v>9818151716</v>
      </c>
      <c r="I60" s="63" t="s">
        <v>370</v>
      </c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>
        <v>5000</v>
      </c>
      <c r="U60" s="65">
        <f t="shared" si="0"/>
        <v>0</v>
      </c>
      <c r="V60" s="63"/>
      <c r="W60" s="63"/>
      <c r="X60" s="63" t="s">
        <v>380</v>
      </c>
    </row>
    <row r="61" spans="1:24" x14ac:dyDescent="0.2">
      <c r="A61" s="60"/>
      <c r="B61" s="61" t="s">
        <v>148</v>
      </c>
      <c r="C61" s="62" t="s">
        <v>378</v>
      </c>
      <c r="D61" s="63" t="s">
        <v>364</v>
      </c>
      <c r="E61" s="64" t="s">
        <v>295</v>
      </c>
      <c r="F61" s="65" t="s">
        <v>364</v>
      </c>
      <c r="G61" s="63"/>
      <c r="H61" s="66">
        <v>9953580208</v>
      </c>
      <c r="I61" s="63" t="s">
        <v>364</v>
      </c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>
        <v>3000</v>
      </c>
      <c r="U61" s="65">
        <f t="shared" si="0"/>
        <v>0</v>
      </c>
      <c r="V61" s="63"/>
      <c r="W61" s="63"/>
      <c r="X61" s="63" t="s">
        <v>380</v>
      </c>
    </row>
    <row r="62" spans="1:24" x14ac:dyDescent="0.2"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70">
        <f>SUM(U2:U61)</f>
        <v>30034</v>
      </c>
      <c r="V62" s="18"/>
      <c r="W62" s="18"/>
      <c r="X62" s="18"/>
    </row>
    <row r="63" spans="1:24" x14ac:dyDescent="0.2">
      <c r="U63" s="6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D799C-FA10-E640-B944-F88756B9CD9F}">
  <dimension ref="A1:T214"/>
  <sheetViews>
    <sheetView tabSelected="1" topLeftCell="D124" workbookViewId="0">
      <selection activeCell="J135" sqref="J135"/>
    </sheetView>
  </sheetViews>
  <sheetFormatPr baseColWidth="10" defaultColWidth="10" defaultRowHeight="16" x14ac:dyDescent="0.2"/>
  <cols>
    <col min="1" max="1" width="5.5" style="18" customWidth="1"/>
    <col min="2" max="2" width="6.5" style="18" customWidth="1"/>
    <col min="3" max="3" width="26.5" style="18" customWidth="1"/>
    <col min="4" max="4" width="6.5" style="18" customWidth="1"/>
    <col min="5" max="5" width="26" style="18" customWidth="1"/>
    <col min="6" max="6" width="42.83203125" style="18" customWidth="1"/>
    <col min="7" max="7" width="10.5" style="18" customWidth="1"/>
    <col min="8" max="8" width="4.5" style="18" customWidth="1"/>
    <col min="9" max="9" width="12.1640625" style="18" customWidth="1"/>
    <col min="10" max="10" width="11.83203125" style="18" customWidth="1"/>
    <col min="11" max="11" width="17.33203125" style="18" customWidth="1"/>
    <col min="12" max="12" width="11.5" style="18" customWidth="1"/>
    <col min="13" max="13" width="9.1640625" style="18" hidden="1" customWidth="1"/>
    <col min="14" max="14" width="2.1640625" style="18" hidden="1" customWidth="1"/>
    <col min="15" max="15" width="6.5" style="18" customWidth="1"/>
    <col min="16" max="16" width="11.83203125" style="18" customWidth="1"/>
    <col min="17" max="17" width="10.33203125" style="18" customWidth="1"/>
    <col min="18" max="18" width="11.5" style="18" customWidth="1"/>
    <col min="19" max="19" width="4" style="18" customWidth="1"/>
    <col min="20" max="20" width="5" style="18" customWidth="1"/>
    <col min="21" max="16384" width="10" style="18"/>
  </cols>
  <sheetData>
    <row r="1" spans="1:20" ht="20" x14ac:dyDescent="0.25">
      <c r="A1" s="1" t="s">
        <v>381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 t="s">
        <v>1</v>
      </c>
      <c r="T1" s="2"/>
    </row>
    <row r="2" spans="1:20" ht="42.75" customHeight="1" x14ac:dyDescent="0.2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4" t="s">
        <v>382</v>
      </c>
      <c r="L2" s="4" t="s">
        <v>13</v>
      </c>
      <c r="M2" s="4" t="s">
        <v>14</v>
      </c>
      <c r="N2" s="4" t="s">
        <v>15</v>
      </c>
      <c r="O2" s="4" t="s">
        <v>16</v>
      </c>
      <c r="P2" s="3" t="s">
        <v>17</v>
      </c>
      <c r="Q2" s="3" t="s">
        <v>18</v>
      </c>
      <c r="R2" s="3" t="s">
        <v>19</v>
      </c>
      <c r="S2" s="5" t="s">
        <v>20</v>
      </c>
      <c r="T2" s="5" t="s">
        <v>21</v>
      </c>
    </row>
    <row r="3" spans="1:20" ht="14.25" customHeight="1" x14ac:dyDescent="0.2">
      <c r="A3" s="6">
        <v>1</v>
      </c>
      <c r="B3" s="7" t="s">
        <v>22</v>
      </c>
      <c r="C3" s="13" t="s">
        <v>383</v>
      </c>
      <c r="D3" s="9" t="s">
        <v>384</v>
      </c>
      <c r="E3" s="9" t="s">
        <v>385</v>
      </c>
      <c r="F3" s="10" t="s">
        <v>386</v>
      </c>
      <c r="G3" s="9" t="s">
        <v>381</v>
      </c>
      <c r="H3" s="9" t="s">
        <v>27</v>
      </c>
      <c r="I3" s="9">
        <v>28.085266000000001</v>
      </c>
      <c r="J3" s="11">
        <v>74.639559000000006</v>
      </c>
      <c r="K3" s="11" t="s">
        <v>28</v>
      </c>
      <c r="L3" s="11"/>
      <c r="M3" s="9"/>
      <c r="N3" s="9" t="s">
        <v>29</v>
      </c>
      <c r="O3" s="9" t="s">
        <v>29</v>
      </c>
      <c r="P3" s="12" t="s">
        <v>30</v>
      </c>
      <c r="Q3" s="9"/>
      <c r="R3" s="11">
        <f>S3*T3</f>
        <v>555</v>
      </c>
      <c r="S3" s="11">
        <v>37</v>
      </c>
      <c r="T3" s="11">
        <v>15</v>
      </c>
    </row>
    <row r="4" spans="1:20" ht="14.25" customHeight="1" x14ac:dyDescent="0.2">
      <c r="A4" s="6"/>
      <c r="B4" s="7"/>
      <c r="C4" s="13"/>
      <c r="D4" s="9"/>
      <c r="E4" s="9"/>
      <c r="F4" s="10"/>
      <c r="G4" s="9" t="s">
        <v>381</v>
      </c>
      <c r="H4" s="9" t="s">
        <v>27</v>
      </c>
      <c r="I4" s="9">
        <v>28.058259</v>
      </c>
      <c r="J4" s="11">
        <v>74.639563999999993</v>
      </c>
      <c r="K4" s="11" t="s">
        <v>28</v>
      </c>
      <c r="L4" s="11"/>
      <c r="M4" s="9"/>
      <c r="N4" s="9"/>
      <c r="O4" s="9"/>
      <c r="P4" s="12"/>
      <c r="Q4" s="9"/>
      <c r="R4" s="11">
        <f t="shared" ref="R4:R67" si="0">S4*T4</f>
        <v>345</v>
      </c>
      <c r="S4" s="11">
        <v>23</v>
      </c>
      <c r="T4" s="11">
        <v>15</v>
      </c>
    </row>
    <row r="5" spans="1:20" ht="14.25" customHeight="1" x14ac:dyDescent="0.2">
      <c r="A5" s="6"/>
      <c r="B5" s="7"/>
      <c r="C5" s="13"/>
      <c r="D5" s="9"/>
      <c r="E5" s="9"/>
      <c r="F5" s="10"/>
      <c r="G5" s="9"/>
      <c r="H5" s="9"/>
      <c r="I5" s="9"/>
      <c r="J5" s="11"/>
      <c r="K5" s="11"/>
      <c r="L5" s="11"/>
      <c r="M5" s="9"/>
      <c r="N5" s="9"/>
      <c r="O5" s="9"/>
      <c r="P5" s="12"/>
      <c r="Q5" s="9"/>
      <c r="R5" s="11">
        <f t="shared" si="0"/>
        <v>276</v>
      </c>
      <c r="S5" s="11">
        <v>23</v>
      </c>
      <c r="T5" s="11">
        <v>12</v>
      </c>
    </row>
    <row r="6" spans="1:20" ht="14.25" customHeight="1" x14ac:dyDescent="0.2">
      <c r="A6" s="6"/>
      <c r="B6" s="7"/>
      <c r="C6" s="13"/>
      <c r="D6" s="9"/>
      <c r="E6" s="9"/>
      <c r="F6" s="10"/>
      <c r="G6" s="9"/>
      <c r="H6" s="9"/>
      <c r="I6" s="9"/>
      <c r="J6" s="11"/>
      <c r="K6" s="11"/>
      <c r="L6" s="11"/>
      <c r="M6" s="9"/>
      <c r="N6" s="9"/>
      <c r="O6" s="9"/>
      <c r="P6" s="12"/>
      <c r="Q6" s="9"/>
      <c r="R6" s="11">
        <f t="shared" si="0"/>
        <v>375</v>
      </c>
      <c r="S6" s="11">
        <v>15</v>
      </c>
      <c r="T6" s="11">
        <v>25</v>
      </c>
    </row>
    <row r="7" spans="1:20" ht="14.25" customHeight="1" x14ac:dyDescent="0.2">
      <c r="A7" s="6"/>
      <c r="B7" s="7"/>
      <c r="C7" s="13"/>
      <c r="D7" s="9"/>
      <c r="E7" s="9"/>
      <c r="F7" s="10"/>
      <c r="G7" s="9"/>
      <c r="H7" s="9"/>
      <c r="I7" s="9"/>
      <c r="J7" s="11"/>
      <c r="K7" s="11"/>
      <c r="L7" s="11"/>
      <c r="M7" s="9"/>
      <c r="N7" s="9"/>
      <c r="O7" s="9"/>
      <c r="P7" s="12"/>
      <c r="Q7" s="9"/>
      <c r="R7" s="11">
        <f t="shared" si="0"/>
        <v>30</v>
      </c>
      <c r="S7" s="11">
        <v>5</v>
      </c>
      <c r="T7" s="11">
        <v>6</v>
      </c>
    </row>
    <row r="8" spans="1:20" ht="14.25" customHeight="1" x14ac:dyDescent="0.2">
      <c r="A8" s="6"/>
      <c r="B8" s="7"/>
      <c r="C8" s="13"/>
      <c r="D8" s="9"/>
      <c r="E8" s="9"/>
      <c r="F8" s="10"/>
      <c r="G8" s="9"/>
      <c r="H8" s="9"/>
      <c r="I8" s="9"/>
      <c r="J8" s="11"/>
      <c r="K8" s="11"/>
      <c r="L8" s="11"/>
      <c r="M8" s="9"/>
      <c r="N8" s="9"/>
      <c r="O8" s="9"/>
      <c r="P8" s="12"/>
      <c r="Q8" s="9"/>
      <c r="R8" s="11">
        <f t="shared" si="0"/>
        <v>52</v>
      </c>
      <c r="S8" s="11">
        <v>13</v>
      </c>
      <c r="T8" s="11">
        <v>4</v>
      </c>
    </row>
    <row r="9" spans="1:20" ht="14.25" customHeight="1" x14ac:dyDescent="0.2">
      <c r="A9" s="6"/>
      <c r="B9" s="7"/>
      <c r="C9" s="13"/>
      <c r="D9" s="9"/>
      <c r="E9" s="9"/>
      <c r="F9" s="10"/>
      <c r="G9" s="9"/>
      <c r="H9" s="9"/>
      <c r="I9" s="9"/>
      <c r="J9" s="11"/>
      <c r="K9" s="11"/>
      <c r="L9" s="11"/>
      <c r="M9" s="9"/>
      <c r="N9" s="9"/>
      <c r="O9" s="9"/>
      <c r="P9" s="12"/>
      <c r="Q9" s="9"/>
      <c r="R9" s="11">
        <f t="shared" si="0"/>
        <v>27</v>
      </c>
      <c r="S9" s="11">
        <v>9</v>
      </c>
      <c r="T9" s="11">
        <v>3</v>
      </c>
    </row>
    <row r="10" spans="1:20" ht="14.25" customHeight="1" x14ac:dyDescent="0.2">
      <c r="A10" s="6"/>
      <c r="B10" s="7"/>
      <c r="C10" s="13"/>
      <c r="D10" s="9" t="s">
        <v>384</v>
      </c>
      <c r="E10" s="9" t="s">
        <v>385</v>
      </c>
      <c r="F10" s="10"/>
      <c r="G10" s="9" t="s">
        <v>381</v>
      </c>
      <c r="H10" s="9" t="s">
        <v>27</v>
      </c>
      <c r="I10" s="9">
        <v>28.084029999999998</v>
      </c>
      <c r="J10" s="11">
        <v>74.637102999999996</v>
      </c>
      <c r="K10" s="11" t="s">
        <v>31</v>
      </c>
      <c r="L10" s="11"/>
      <c r="M10" s="9"/>
      <c r="N10" s="9"/>
      <c r="O10" s="9"/>
      <c r="P10" s="12" t="s">
        <v>30</v>
      </c>
      <c r="Q10" s="9"/>
      <c r="R10" s="11">
        <f t="shared" si="0"/>
        <v>1020.5</v>
      </c>
      <c r="S10" s="11">
        <v>157</v>
      </c>
      <c r="T10" s="11">
        <v>6.5</v>
      </c>
    </row>
    <row r="11" spans="1:20" ht="14.25" customHeight="1" x14ac:dyDescent="0.2">
      <c r="A11" s="6"/>
      <c r="B11" s="7"/>
      <c r="C11" s="13"/>
      <c r="D11" s="9" t="s">
        <v>384</v>
      </c>
      <c r="E11" s="9" t="s">
        <v>385</v>
      </c>
      <c r="F11" s="10"/>
      <c r="G11" s="9" t="s">
        <v>381</v>
      </c>
      <c r="H11" s="9" t="s">
        <v>27</v>
      </c>
      <c r="I11" s="9">
        <v>28.081990000000001</v>
      </c>
      <c r="J11" s="11">
        <v>74.631106000000003</v>
      </c>
      <c r="K11" s="11" t="s">
        <v>33</v>
      </c>
      <c r="L11" s="11"/>
      <c r="M11" s="9"/>
      <c r="N11" s="9"/>
      <c r="O11" s="9"/>
      <c r="P11" s="12" t="s">
        <v>32</v>
      </c>
      <c r="Q11" s="9"/>
      <c r="R11" s="11">
        <f t="shared" si="0"/>
        <v>477</v>
      </c>
      <c r="S11" s="11">
        <v>53</v>
      </c>
      <c r="T11" s="11">
        <v>9</v>
      </c>
    </row>
    <row r="12" spans="1:20" ht="14.25" customHeight="1" x14ac:dyDescent="0.2">
      <c r="A12" s="6"/>
      <c r="B12" s="7"/>
      <c r="C12" s="13"/>
      <c r="D12" s="9"/>
      <c r="E12" s="9"/>
      <c r="F12" s="10"/>
      <c r="G12" s="9"/>
      <c r="H12" s="9"/>
      <c r="I12" s="9"/>
      <c r="J12" s="11"/>
      <c r="K12" s="11"/>
      <c r="L12" s="11"/>
      <c r="M12" s="9"/>
      <c r="N12" s="9"/>
      <c r="O12" s="9"/>
      <c r="P12" s="12"/>
      <c r="Q12" s="9"/>
      <c r="R12" s="11">
        <f t="shared" si="0"/>
        <v>377</v>
      </c>
      <c r="S12" s="11">
        <v>29</v>
      </c>
      <c r="T12" s="11">
        <v>13</v>
      </c>
    </row>
    <row r="13" spans="1:20" ht="14.25" customHeight="1" x14ac:dyDescent="0.2">
      <c r="A13" s="6"/>
      <c r="B13" s="7"/>
      <c r="C13" s="13"/>
      <c r="D13" s="9" t="s">
        <v>384</v>
      </c>
      <c r="E13" s="9" t="s">
        <v>385</v>
      </c>
      <c r="F13" s="10"/>
      <c r="G13" s="9" t="s">
        <v>381</v>
      </c>
      <c r="H13" s="9" t="s">
        <v>27</v>
      </c>
      <c r="I13" s="9">
        <v>28.082149000000001</v>
      </c>
      <c r="J13" s="11">
        <v>74.631022999999999</v>
      </c>
      <c r="K13" s="11" t="s">
        <v>33</v>
      </c>
      <c r="L13" s="11"/>
      <c r="M13" s="9"/>
      <c r="N13" s="9"/>
      <c r="O13" s="9"/>
      <c r="P13" s="12" t="s">
        <v>32</v>
      </c>
      <c r="Q13" s="9"/>
      <c r="R13" s="11">
        <f t="shared" si="0"/>
        <v>315</v>
      </c>
      <c r="S13" s="11">
        <v>35</v>
      </c>
      <c r="T13" s="11">
        <v>9</v>
      </c>
    </row>
    <row r="14" spans="1:20" ht="14.25" customHeight="1" x14ac:dyDescent="0.2">
      <c r="A14" s="6"/>
      <c r="B14" s="7"/>
      <c r="C14" s="13"/>
      <c r="D14" s="9" t="s">
        <v>384</v>
      </c>
      <c r="E14" s="9" t="s">
        <v>385</v>
      </c>
      <c r="F14" s="10"/>
      <c r="G14" s="9" t="s">
        <v>381</v>
      </c>
      <c r="H14" s="9" t="s">
        <v>27</v>
      </c>
      <c r="I14" s="9">
        <v>28.085336999999999</v>
      </c>
      <c r="J14" s="11">
        <v>74.63937</v>
      </c>
      <c r="K14" s="11" t="s">
        <v>34</v>
      </c>
      <c r="L14" s="11"/>
      <c r="M14" s="9"/>
      <c r="N14" s="9"/>
      <c r="O14" s="9"/>
      <c r="P14" s="12" t="s">
        <v>32</v>
      </c>
      <c r="Q14" s="9"/>
      <c r="R14" s="11">
        <f t="shared" si="0"/>
        <v>456</v>
      </c>
      <c r="S14" s="11">
        <v>38</v>
      </c>
      <c r="T14" s="11">
        <v>12</v>
      </c>
    </row>
    <row r="15" spans="1:20" ht="14.25" customHeight="1" x14ac:dyDescent="0.2">
      <c r="A15" s="6"/>
      <c r="B15" s="7"/>
      <c r="C15" s="13"/>
      <c r="D15" s="9" t="s">
        <v>384</v>
      </c>
      <c r="E15" s="9" t="s">
        <v>385</v>
      </c>
      <c r="F15" s="10"/>
      <c r="G15" s="9" t="s">
        <v>381</v>
      </c>
      <c r="H15" s="9" t="s">
        <v>27</v>
      </c>
      <c r="I15" s="9">
        <v>28.085241</v>
      </c>
      <c r="J15" s="11">
        <v>74.639544999999998</v>
      </c>
      <c r="K15" s="11" t="s">
        <v>35</v>
      </c>
      <c r="L15" s="11"/>
      <c r="M15" s="9"/>
      <c r="N15" s="9"/>
      <c r="O15" s="9"/>
      <c r="P15" s="12" t="s">
        <v>32</v>
      </c>
      <c r="Q15" s="9"/>
      <c r="R15" s="11">
        <f t="shared" si="0"/>
        <v>25</v>
      </c>
      <c r="S15" s="11">
        <v>5</v>
      </c>
      <c r="T15" s="11">
        <v>5</v>
      </c>
    </row>
    <row r="16" spans="1:20" ht="14.25" customHeight="1" x14ac:dyDescent="0.2">
      <c r="A16" s="6"/>
      <c r="B16" s="7"/>
      <c r="C16" s="13"/>
      <c r="D16" s="9" t="s">
        <v>384</v>
      </c>
      <c r="E16" s="9" t="s">
        <v>385</v>
      </c>
      <c r="F16" s="10"/>
      <c r="G16" s="9" t="s">
        <v>381</v>
      </c>
      <c r="H16" s="9" t="s">
        <v>27</v>
      </c>
      <c r="I16" s="9">
        <v>28.084513000000001</v>
      </c>
      <c r="J16" s="11">
        <v>74.638255000000001</v>
      </c>
      <c r="K16" s="11" t="s">
        <v>36</v>
      </c>
      <c r="L16" s="11"/>
      <c r="M16" s="9"/>
      <c r="N16" s="9"/>
      <c r="O16" s="9"/>
      <c r="P16" s="12" t="s">
        <v>32</v>
      </c>
      <c r="Q16" s="9"/>
      <c r="R16" s="11">
        <f t="shared" si="0"/>
        <v>225</v>
      </c>
      <c r="S16" s="11">
        <v>45</v>
      </c>
      <c r="T16" s="11">
        <v>5</v>
      </c>
    </row>
    <row r="17" spans="1:20" ht="14.25" customHeight="1" x14ac:dyDescent="0.2">
      <c r="A17" s="6">
        <v>2</v>
      </c>
      <c r="B17" s="7" t="s">
        <v>22</v>
      </c>
      <c r="C17" s="13" t="s">
        <v>387</v>
      </c>
      <c r="D17" s="9" t="s">
        <v>384</v>
      </c>
      <c r="E17" s="9" t="s">
        <v>388</v>
      </c>
      <c r="F17" s="7" t="s">
        <v>389</v>
      </c>
      <c r="G17" s="9" t="s">
        <v>381</v>
      </c>
      <c r="H17" s="9" t="s">
        <v>27</v>
      </c>
      <c r="I17" s="9">
        <v>27.372544000000001</v>
      </c>
      <c r="J17" s="11">
        <v>75.566085999999999</v>
      </c>
      <c r="K17" s="11" t="s">
        <v>74</v>
      </c>
      <c r="L17" s="11"/>
      <c r="M17" s="9"/>
      <c r="N17" s="9"/>
      <c r="O17" s="9"/>
      <c r="P17" s="12" t="s">
        <v>42</v>
      </c>
      <c r="Q17" s="9"/>
      <c r="R17" s="11">
        <f t="shared" si="0"/>
        <v>319</v>
      </c>
      <c r="S17" s="11">
        <v>58</v>
      </c>
      <c r="T17" s="11">
        <v>5.5</v>
      </c>
    </row>
    <row r="18" spans="1:20" ht="14.25" customHeight="1" x14ac:dyDescent="0.2">
      <c r="A18" s="6"/>
      <c r="B18" s="7"/>
      <c r="C18" s="13"/>
      <c r="D18" s="9"/>
      <c r="E18" s="9"/>
      <c r="F18" s="7"/>
      <c r="G18" s="9"/>
      <c r="H18" s="9"/>
      <c r="I18" s="9"/>
      <c r="J18" s="11"/>
      <c r="K18" s="11"/>
      <c r="L18" s="11"/>
      <c r="M18" s="9"/>
      <c r="N18" s="9"/>
      <c r="O18" s="9"/>
      <c r="P18" s="12"/>
      <c r="Q18" s="9"/>
      <c r="R18" s="11">
        <f t="shared" si="0"/>
        <v>243</v>
      </c>
      <c r="S18" s="11">
        <v>54</v>
      </c>
      <c r="T18" s="11">
        <v>4.5</v>
      </c>
    </row>
    <row r="19" spans="1:20" ht="14.25" customHeight="1" x14ac:dyDescent="0.2">
      <c r="A19" s="6"/>
      <c r="B19" s="7"/>
      <c r="C19" s="13"/>
      <c r="D19" s="9" t="s">
        <v>384</v>
      </c>
      <c r="E19" s="9" t="s">
        <v>388</v>
      </c>
      <c r="F19" s="7"/>
      <c r="G19" s="9" t="s">
        <v>381</v>
      </c>
      <c r="H19" s="9" t="s">
        <v>27</v>
      </c>
      <c r="I19" s="9">
        <v>27.372517999999999</v>
      </c>
      <c r="J19" s="11">
        <v>75.566202000000004</v>
      </c>
      <c r="K19" s="11" t="s">
        <v>74</v>
      </c>
      <c r="L19" s="11"/>
      <c r="M19" s="9"/>
      <c r="N19" s="9"/>
      <c r="O19" s="9"/>
      <c r="P19" s="12" t="s">
        <v>42</v>
      </c>
      <c r="Q19" s="9"/>
      <c r="R19" s="11">
        <f t="shared" si="0"/>
        <v>737</v>
      </c>
      <c r="S19" s="11">
        <v>67</v>
      </c>
      <c r="T19" s="11">
        <v>11</v>
      </c>
    </row>
    <row r="20" spans="1:20" ht="14.25" customHeight="1" x14ac:dyDescent="0.2">
      <c r="A20" s="6"/>
      <c r="B20" s="7"/>
      <c r="C20" s="13"/>
      <c r="D20" s="9"/>
      <c r="E20" s="9"/>
      <c r="F20" s="7"/>
      <c r="G20" s="9"/>
      <c r="H20" s="9"/>
      <c r="I20" s="9"/>
      <c r="J20" s="11"/>
      <c r="K20" s="11"/>
      <c r="L20" s="11"/>
      <c r="M20" s="9"/>
      <c r="N20" s="9"/>
      <c r="O20" s="9"/>
      <c r="P20" s="12"/>
      <c r="Q20" s="9"/>
      <c r="R20" s="11">
        <f t="shared" si="0"/>
        <v>117</v>
      </c>
      <c r="S20" s="11">
        <v>13</v>
      </c>
      <c r="T20" s="11">
        <v>9</v>
      </c>
    </row>
    <row r="21" spans="1:20" ht="14.25" customHeight="1" x14ac:dyDescent="0.2">
      <c r="A21" s="6"/>
      <c r="B21" s="7"/>
      <c r="C21" s="13"/>
      <c r="D21" s="9"/>
      <c r="E21" s="9"/>
      <c r="F21" s="7"/>
      <c r="G21" s="9"/>
      <c r="H21" s="9"/>
      <c r="I21" s="9"/>
      <c r="J21" s="11"/>
      <c r="K21" s="11"/>
      <c r="L21" s="11"/>
      <c r="M21" s="9"/>
      <c r="N21" s="9"/>
      <c r="O21" s="9"/>
      <c r="P21" s="12"/>
      <c r="Q21" s="9"/>
      <c r="R21" s="11">
        <f t="shared" si="0"/>
        <v>294</v>
      </c>
      <c r="S21" s="11">
        <v>21</v>
      </c>
      <c r="T21" s="11">
        <v>14</v>
      </c>
    </row>
    <row r="22" spans="1:20" ht="14.25" customHeight="1" x14ac:dyDescent="0.2">
      <c r="A22" s="6"/>
      <c r="B22" s="7"/>
      <c r="C22" s="13"/>
      <c r="D22" s="9" t="s">
        <v>384</v>
      </c>
      <c r="E22" s="9" t="s">
        <v>388</v>
      </c>
      <c r="F22" s="7"/>
      <c r="G22" s="9" t="s">
        <v>381</v>
      </c>
      <c r="H22" s="9" t="s">
        <v>27</v>
      </c>
      <c r="I22" s="9">
        <v>27.372517999999999</v>
      </c>
      <c r="J22" s="11">
        <v>75.566202000000004</v>
      </c>
      <c r="K22" s="11" t="s">
        <v>74</v>
      </c>
      <c r="L22" s="11"/>
      <c r="M22" s="9"/>
      <c r="N22" s="9"/>
      <c r="O22" s="9"/>
      <c r="P22" s="12" t="s">
        <v>42</v>
      </c>
      <c r="Q22" s="9"/>
      <c r="R22" s="11">
        <f t="shared" si="0"/>
        <v>35</v>
      </c>
      <c r="S22" s="11">
        <v>5</v>
      </c>
      <c r="T22" s="11">
        <v>7</v>
      </c>
    </row>
    <row r="23" spans="1:20" ht="14.25" customHeight="1" x14ac:dyDescent="0.2">
      <c r="A23" s="6"/>
      <c r="B23" s="7"/>
      <c r="C23" s="13"/>
      <c r="D23" s="9"/>
      <c r="E23" s="9"/>
      <c r="F23" s="7"/>
      <c r="G23" s="9"/>
      <c r="H23" s="9"/>
      <c r="I23" s="9"/>
      <c r="J23" s="11"/>
      <c r="K23" s="11"/>
      <c r="L23" s="11"/>
      <c r="M23" s="9"/>
      <c r="N23" s="9"/>
      <c r="O23" s="9"/>
      <c r="P23" s="12"/>
      <c r="Q23" s="9"/>
      <c r="R23" s="11">
        <f t="shared" si="0"/>
        <v>0</v>
      </c>
      <c r="S23" s="11"/>
      <c r="T23" s="11"/>
    </row>
    <row r="24" spans="1:20" ht="14.25" customHeight="1" x14ac:dyDescent="0.2">
      <c r="A24" s="6"/>
      <c r="B24" s="7"/>
      <c r="C24" s="13"/>
      <c r="D24" s="11" t="s">
        <v>384</v>
      </c>
      <c r="E24" s="11" t="s">
        <v>388</v>
      </c>
      <c r="F24" s="7"/>
      <c r="G24" s="11" t="s">
        <v>381</v>
      </c>
      <c r="H24" s="11" t="s">
        <v>27</v>
      </c>
      <c r="I24" s="11">
        <v>27.372517999999999</v>
      </c>
      <c r="J24" s="11">
        <v>75.566202000000004</v>
      </c>
      <c r="K24" s="11" t="s">
        <v>74</v>
      </c>
      <c r="L24" s="11"/>
      <c r="M24" s="11"/>
      <c r="N24" s="11"/>
      <c r="O24" s="11"/>
      <c r="P24" s="11" t="s">
        <v>42</v>
      </c>
      <c r="Q24" s="11"/>
      <c r="R24" s="11">
        <f t="shared" si="0"/>
        <v>721</v>
      </c>
      <c r="S24" s="11">
        <v>103</v>
      </c>
      <c r="T24" s="11">
        <v>7</v>
      </c>
    </row>
    <row r="25" spans="1:20" ht="14.25" customHeight="1" x14ac:dyDescent="0.2">
      <c r="A25" s="6"/>
      <c r="B25" s="7"/>
      <c r="C25" s="13"/>
      <c r="D25" s="11" t="s">
        <v>384</v>
      </c>
      <c r="E25" s="11" t="s">
        <v>388</v>
      </c>
      <c r="F25" s="7"/>
      <c r="G25" s="11" t="s">
        <v>381</v>
      </c>
      <c r="H25" s="11" t="s">
        <v>27</v>
      </c>
      <c r="I25" s="11">
        <v>27.372517999999999</v>
      </c>
      <c r="J25" s="11">
        <v>75.566202000000004</v>
      </c>
      <c r="K25" s="11" t="s">
        <v>74</v>
      </c>
      <c r="L25" s="11"/>
      <c r="M25" s="11"/>
      <c r="N25" s="11"/>
      <c r="O25" s="11"/>
      <c r="P25" s="11" t="s">
        <v>42</v>
      </c>
      <c r="Q25" s="11"/>
      <c r="R25" s="11">
        <f t="shared" si="0"/>
        <v>270</v>
      </c>
      <c r="S25" s="11">
        <v>45</v>
      </c>
      <c r="T25" s="11">
        <v>6</v>
      </c>
    </row>
    <row r="26" spans="1:20" ht="14.25" customHeight="1" x14ac:dyDescent="0.2">
      <c r="A26" s="6"/>
      <c r="B26" s="7"/>
      <c r="C26" s="13"/>
      <c r="D26" s="11" t="s">
        <v>384</v>
      </c>
      <c r="E26" s="11" t="s">
        <v>388</v>
      </c>
      <c r="F26" s="7"/>
      <c r="G26" s="11" t="s">
        <v>381</v>
      </c>
      <c r="H26" s="11" t="s">
        <v>27</v>
      </c>
      <c r="I26" s="11">
        <v>27.372561999999999</v>
      </c>
      <c r="J26" s="11">
        <v>75.566061000000005</v>
      </c>
      <c r="K26" s="11" t="s">
        <v>41</v>
      </c>
      <c r="L26" s="11"/>
      <c r="M26" s="11"/>
      <c r="N26" s="11"/>
      <c r="O26" s="11"/>
      <c r="P26" s="11" t="s">
        <v>42</v>
      </c>
      <c r="Q26" s="11"/>
      <c r="R26" s="11">
        <f t="shared" si="0"/>
        <v>1105</v>
      </c>
      <c r="S26" s="11">
        <v>130</v>
      </c>
      <c r="T26" s="11">
        <v>8.5</v>
      </c>
    </row>
    <row r="27" spans="1:20" ht="14.25" customHeight="1" x14ac:dyDescent="0.2">
      <c r="A27" s="6"/>
      <c r="B27" s="7"/>
      <c r="C27" s="13"/>
      <c r="D27" s="11"/>
      <c r="E27" s="11"/>
      <c r="F27" s="7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>
        <f t="shared" si="0"/>
        <v>85</v>
      </c>
      <c r="S27" s="11">
        <v>10</v>
      </c>
      <c r="T27" s="11">
        <v>8.5</v>
      </c>
    </row>
    <row r="28" spans="1:20" ht="14.25" customHeight="1" x14ac:dyDescent="0.2">
      <c r="A28" s="6"/>
      <c r="B28" s="7"/>
      <c r="C28" s="13"/>
      <c r="D28" s="11"/>
      <c r="E28" s="11"/>
      <c r="F28" s="7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>
        <f t="shared" si="0"/>
        <v>127.5</v>
      </c>
      <c r="S28" s="11">
        <v>15</v>
      </c>
      <c r="T28" s="11">
        <v>8.5</v>
      </c>
    </row>
    <row r="29" spans="1:20" ht="14.25" customHeight="1" x14ac:dyDescent="0.2">
      <c r="A29" s="6"/>
      <c r="B29" s="7"/>
      <c r="C29" s="13"/>
      <c r="D29" s="11" t="s">
        <v>384</v>
      </c>
      <c r="E29" s="11" t="s">
        <v>388</v>
      </c>
      <c r="F29" s="7"/>
      <c r="G29" s="11" t="s">
        <v>381</v>
      </c>
      <c r="H29" s="11" t="s">
        <v>27</v>
      </c>
      <c r="I29" s="11">
        <v>27.344871999999999</v>
      </c>
      <c r="J29" s="11">
        <v>75.512337000000002</v>
      </c>
      <c r="K29" s="11" t="s">
        <v>43</v>
      </c>
      <c r="L29" s="11"/>
      <c r="M29" s="11"/>
      <c r="N29" s="11"/>
      <c r="O29" s="11"/>
      <c r="P29" s="11" t="s">
        <v>42</v>
      </c>
      <c r="Q29" s="11"/>
      <c r="R29" s="11">
        <f t="shared" si="0"/>
        <v>550</v>
      </c>
      <c r="S29" s="11">
        <v>55</v>
      </c>
      <c r="T29" s="11">
        <v>10</v>
      </c>
    </row>
    <row r="30" spans="1:20" ht="14.25" customHeight="1" x14ac:dyDescent="0.2">
      <c r="A30" s="6"/>
      <c r="B30" s="7"/>
      <c r="C30" s="13"/>
      <c r="D30" s="11" t="s">
        <v>384</v>
      </c>
      <c r="E30" s="11" t="s">
        <v>388</v>
      </c>
      <c r="F30" s="7"/>
      <c r="G30" s="11" t="s">
        <v>381</v>
      </c>
      <c r="H30" s="11" t="s">
        <v>27</v>
      </c>
      <c r="I30" s="11">
        <v>27.350200999999998</v>
      </c>
      <c r="J30" s="11">
        <v>75.525212999999994</v>
      </c>
      <c r="K30" s="11" t="s">
        <v>44</v>
      </c>
      <c r="L30" s="11"/>
      <c r="M30" s="11"/>
      <c r="N30" s="11"/>
      <c r="O30" s="11"/>
      <c r="P30" s="11" t="s">
        <v>42</v>
      </c>
      <c r="Q30" s="11"/>
      <c r="R30" s="11">
        <f t="shared" si="0"/>
        <v>225</v>
      </c>
      <c r="S30" s="11">
        <v>15</v>
      </c>
      <c r="T30" s="11">
        <v>15</v>
      </c>
    </row>
    <row r="31" spans="1:20" ht="14.25" customHeight="1" x14ac:dyDescent="0.2">
      <c r="A31" s="6"/>
      <c r="B31" s="7"/>
      <c r="C31" s="13"/>
      <c r="D31" s="11"/>
      <c r="E31" s="11"/>
      <c r="F31" s="7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>
        <f t="shared" si="0"/>
        <v>208</v>
      </c>
      <c r="S31" s="11">
        <v>16</v>
      </c>
      <c r="T31" s="11">
        <v>13</v>
      </c>
    </row>
    <row r="32" spans="1:20" ht="14.25" customHeight="1" x14ac:dyDescent="0.2">
      <c r="A32" s="6"/>
      <c r="B32" s="7"/>
      <c r="C32" s="13"/>
      <c r="D32" s="11"/>
      <c r="E32" s="11"/>
      <c r="F32" s="7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>
        <f t="shared" si="0"/>
        <v>451</v>
      </c>
      <c r="S32" s="11">
        <v>41</v>
      </c>
      <c r="T32" s="11">
        <v>11</v>
      </c>
    </row>
    <row r="33" spans="1:20" ht="14.25" customHeight="1" x14ac:dyDescent="0.2">
      <c r="A33" s="6"/>
      <c r="B33" s="7"/>
      <c r="C33" s="13"/>
      <c r="D33" s="11"/>
      <c r="E33" s="11"/>
      <c r="F33" s="7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>
        <f t="shared" si="0"/>
        <v>15</v>
      </c>
      <c r="S33" s="11">
        <v>5</v>
      </c>
      <c r="T33" s="11">
        <v>3</v>
      </c>
    </row>
    <row r="34" spans="1:20" ht="14.25" customHeight="1" x14ac:dyDescent="0.2">
      <c r="A34" s="6"/>
      <c r="B34" s="7"/>
      <c r="C34" s="13"/>
      <c r="D34" s="9" t="s">
        <v>384</v>
      </c>
      <c r="E34" s="9" t="s">
        <v>388</v>
      </c>
      <c r="F34" s="7"/>
      <c r="G34" s="71" t="s">
        <v>381</v>
      </c>
      <c r="H34" s="71" t="s">
        <v>27</v>
      </c>
      <c r="I34" s="71">
        <v>27.339352000000002</v>
      </c>
      <c r="J34" s="11">
        <v>75.590074000000001</v>
      </c>
      <c r="K34" s="11" t="s">
        <v>46</v>
      </c>
      <c r="L34" s="11"/>
      <c r="M34" s="11"/>
      <c r="N34" s="11"/>
      <c r="O34" s="11"/>
      <c r="P34" s="12" t="s">
        <v>47</v>
      </c>
      <c r="Q34" s="11"/>
      <c r="R34" s="11">
        <f t="shared" si="0"/>
        <v>884</v>
      </c>
      <c r="S34" s="11">
        <v>52</v>
      </c>
      <c r="T34" s="11">
        <v>17</v>
      </c>
    </row>
    <row r="35" spans="1:20" ht="14.25" customHeight="1" x14ac:dyDescent="0.2">
      <c r="A35" s="6"/>
      <c r="B35" s="7"/>
      <c r="C35" s="13"/>
      <c r="D35" s="9"/>
      <c r="E35" s="9"/>
      <c r="F35" s="7"/>
      <c r="G35" s="71"/>
      <c r="H35" s="71"/>
      <c r="I35" s="71"/>
      <c r="J35" s="11"/>
      <c r="K35" s="11"/>
      <c r="L35" s="11"/>
      <c r="M35" s="11"/>
      <c r="N35" s="11"/>
      <c r="O35" s="11"/>
      <c r="P35" s="12"/>
      <c r="Q35" s="11"/>
      <c r="R35" s="11">
        <f t="shared" si="0"/>
        <v>110</v>
      </c>
      <c r="S35" s="11">
        <v>11</v>
      </c>
      <c r="T35" s="11">
        <v>10</v>
      </c>
    </row>
    <row r="36" spans="1:20" ht="14.25" customHeight="1" x14ac:dyDescent="0.2">
      <c r="A36" s="6"/>
      <c r="B36" s="7"/>
      <c r="C36" s="13"/>
      <c r="D36" s="9" t="s">
        <v>384</v>
      </c>
      <c r="E36" s="9" t="s">
        <v>388</v>
      </c>
      <c r="F36" s="7"/>
      <c r="G36" s="11" t="s">
        <v>381</v>
      </c>
      <c r="H36" s="11" t="s">
        <v>27</v>
      </c>
      <c r="I36" s="11">
        <v>27.340125</v>
      </c>
      <c r="J36" s="11">
        <v>75.603398999999996</v>
      </c>
      <c r="K36" s="11" t="s">
        <v>48</v>
      </c>
      <c r="L36" s="72"/>
      <c r="M36" s="72"/>
      <c r="N36" s="72"/>
      <c r="O36" s="72"/>
      <c r="P36" s="11" t="s">
        <v>47</v>
      </c>
      <c r="Q36" s="11"/>
      <c r="R36" s="11">
        <f t="shared" si="0"/>
        <v>320</v>
      </c>
      <c r="S36" s="11">
        <v>20</v>
      </c>
      <c r="T36" s="11">
        <v>16</v>
      </c>
    </row>
    <row r="37" spans="1:20" ht="14.25" customHeight="1" x14ac:dyDescent="0.2">
      <c r="A37" s="6"/>
      <c r="B37" s="7"/>
      <c r="C37" s="13"/>
      <c r="D37" s="11"/>
      <c r="E37" s="11"/>
      <c r="F37" s="7"/>
      <c r="G37" s="11"/>
      <c r="H37" s="11"/>
      <c r="I37" s="11"/>
      <c r="J37" s="11"/>
      <c r="K37" s="11"/>
      <c r="L37" s="72"/>
      <c r="M37" s="72"/>
      <c r="N37" s="72"/>
      <c r="O37" s="72"/>
      <c r="P37" s="11"/>
      <c r="Q37" s="11"/>
      <c r="R37" s="11">
        <f t="shared" si="0"/>
        <v>1218</v>
      </c>
      <c r="S37" s="11">
        <v>87</v>
      </c>
      <c r="T37" s="11">
        <v>14</v>
      </c>
    </row>
    <row r="38" spans="1:20" ht="14.25" customHeight="1" x14ac:dyDescent="0.2">
      <c r="A38" s="6">
        <v>3</v>
      </c>
      <c r="B38" s="7" t="s">
        <v>22</v>
      </c>
      <c r="C38" s="13" t="s">
        <v>390</v>
      </c>
      <c r="D38" s="11" t="s">
        <v>384</v>
      </c>
      <c r="E38" s="11" t="s">
        <v>391</v>
      </c>
      <c r="F38" s="6" t="s">
        <v>392</v>
      </c>
      <c r="G38" s="11" t="s">
        <v>381</v>
      </c>
      <c r="H38" s="11" t="s">
        <v>27</v>
      </c>
      <c r="I38" s="11">
        <v>26.400936999999999</v>
      </c>
      <c r="J38" s="11">
        <v>73.526359999999997</v>
      </c>
      <c r="K38" s="11" t="s">
        <v>52</v>
      </c>
      <c r="L38" s="72"/>
      <c r="M38" s="72"/>
      <c r="N38" s="72"/>
      <c r="O38" s="72"/>
      <c r="P38" s="11" t="s">
        <v>62</v>
      </c>
      <c r="Q38" s="11"/>
      <c r="R38" s="11">
        <f t="shared" si="0"/>
        <v>2260.5</v>
      </c>
      <c r="S38" s="11">
        <v>137</v>
      </c>
      <c r="T38" s="11">
        <v>16.5</v>
      </c>
    </row>
    <row r="39" spans="1:20" ht="14.25" customHeight="1" x14ac:dyDescent="0.2">
      <c r="A39" s="6"/>
      <c r="B39" s="7"/>
      <c r="C39" s="13"/>
      <c r="D39" s="11" t="s">
        <v>384</v>
      </c>
      <c r="E39" s="11" t="s">
        <v>391</v>
      </c>
      <c r="F39" s="6"/>
      <c r="G39" s="11" t="s">
        <v>381</v>
      </c>
      <c r="H39" s="11" t="s">
        <v>27</v>
      </c>
      <c r="I39" s="11">
        <v>26.401409999999998</v>
      </c>
      <c r="J39" s="11">
        <v>73.526295000000005</v>
      </c>
      <c r="K39" s="11" t="s">
        <v>52</v>
      </c>
      <c r="L39" s="72"/>
      <c r="M39" s="72"/>
      <c r="N39" s="72"/>
      <c r="O39" s="72"/>
      <c r="P39" s="11" t="s">
        <v>62</v>
      </c>
      <c r="Q39" s="11"/>
      <c r="R39" s="11">
        <f t="shared" si="0"/>
        <v>792</v>
      </c>
      <c r="S39" s="11">
        <v>48</v>
      </c>
      <c r="T39" s="11">
        <v>16.5</v>
      </c>
    </row>
    <row r="40" spans="1:20" ht="14.25" customHeight="1" x14ac:dyDescent="0.2">
      <c r="A40" s="6"/>
      <c r="B40" s="7"/>
      <c r="C40" s="13"/>
      <c r="D40" s="11" t="s">
        <v>384</v>
      </c>
      <c r="E40" s="11" t="s">
        <v>391</v>
      </c>
      <c r="F40" s="6"/>
      <c r="G40" s="11" t="s">
        <v>381</v>
      </c>
      <c r="H40" s="11" t="s">
        <v>27</v>
      </c>
      <c r="I40" s="11">
        <v>26.400939999999999</v>
      </c>
      <c r="J40" s="11">
        <v>73.526375000000002</v>
      </c>
      <c r="K40" s="11" t="s">
        <v>52</v>
      </c>
      <c r="L40" s="72"/>
      <c r="M40" s="72"/>
      <c r="N40" s="72"/>
      <c r="O40" s="72"/>
      <c r="P40" s="11" t="s">
        <v>62</v>
      </c>
      <c r="Q40" s="11"/>
      <c r="R40" s="11">
        <f t="shared" si="0"/>
        <v>186</v>
      </c>
      <c r="S40" s="11">
        <v>12</v>
      </c>
      <c r="T40" s="11">
        <v>15.5</v>
      </c>
    </row>
    <row r="41" spans="1:20" ht="14.25" customHeight="1" x14ac:dyDescent="0.2">
      <c r="A41" s="6"/>
      <c r="B41" s="7"/>
      <c r="C41" s="13"/>
      <c r="D41" s="11" t="s">
        <v>384</v>
      </c>
      <c r="E41" s="11" t="s">
        <v>391</v>
      </c>
      <c r="F41" s="6"/>
      <c r="G41" s="11" t="s">
        <v>381</v>
      </c>
      <c r="H41" s="11" t="s">
        <v>27</v>
      </c>
      <c r="I41" s="11">
        <v>26.377275999999998</v>
      </c>
      <c r="J41" s="11">
        <v>73.556640999999999</v>
      </c>
      <c r="K41" s="11" t="s">
        <v>54</v>
      </c>
      <c r="L41" s="72"/>
      <c r="M41" s="72"/>
      <c r="N41" s="72"/>
      <c r="O41" s="72"/>
      <c r="P41" s="11" t="s">
        <v>100</v>
      </c>
      <c r="Q41" s="11"/>
      <c r="R41" s="11">
        <f t="shared" si="0"/>
        <v>2343</v>
      </c>
      <c r="S41" s="11">
        <v>142</v>
      </c>
      <c r="T41" s="11">
        <v>16.5</v>
      </c>
    </row>
    <row r="42" spans="1:20" ht="14.25" customHeight="1" x14ac:dyDescent="0.2">
      <c r="A42" s="6"/>
      <c r="B42" s="7"/>
      <c r="C42" s="13"/>
      <c r="D42" s="11" t="s">
        <v>384</v>
      </c>
      <c r="E42" s="11" t="s">
        <v>391</v>
      </c>
      <c r="F42" s="6"/>
      <c r="G42" s="11" t="s">
        <v>381</v>
      </c>
      <c r="H42" s="11" t="s">
        <v>27</v>
      </c>
      <c r="I42" s="11">
        <v>26.367857000000001</v>
      </c>
      <c r="J42" s="11">
        <v>73.552096000000006</v>
      </c>
      <c r="K42" s="11" t="s">
        <v>55</v>
      </c>
      <c r="L42" s="72"/>
      <c r="M42" s="72"/>
      <c r="N42" s="72"/>
      <c r="O42" s="72"/>
      <c r="P42" s="11" t="s">
        <v>100</v>
      </c>
      <c r="Q42" s="11"/>
      <c r="R42" s="11">
        <f t="shared" si="0"/>
        <v>3122</v>
      </c>
      <c r="S42" s="11">
        <v>223</v>
      </c>
      <c r="T42" s="11">
        <v>14</v>
      </c>
    </row>
    <row r="43" spans="1:20" ht="14.25" customHeight="1" x14ac:dyDescent="0.2">
      <c r="A43" s="6"/>
      <c r="B43" s="7"/>
      <c r="C43" s="13"/>
      <c r="D43" s="11" t="s">
        <v>384</v>
      </c>
      <c r="E43" s="11" t="s">
        <v>391</v>
      </c>
      <c r="F43" s="6"/>
      <c r="G43" s="11" t="s">
        <v>381</v>
      </c>
      <c r="H43" s="11" t="s">
        <v>27</v>
      </c>
      <c r="I43" s="11">
        <v>26.367671999999999</v>
      </c>
      <c r="J43" s="11">
        <v>73.551635000000005</v>
      </c>
      <c r="K43" s="11" t="s">
        <v>55</v>
      </c>
      <c r="L43" s="11"/>
      <c r="M43" s="11"/>
      <c r="N43" s="11"/>
      <c r="O43" s="11"/>
      <c r="P43" s="11" t="s">
        <v>100</v>
      </c>
      <c r="Q43" s="11"/>
      <c r="R43" s="11">
        <f t="shared" si="0"/>
        <v>214.5</v>
      </c>
      <c r="S43" s="11">
        <v>33</v>
      </c>
      <c r="T43" s="11">
        <v>6.5</v>
      </c>
    </row>
    <row r="44" spans="1:20" ht="14.25" customHeight="1" x14ac:dyDescent="0.2">
      <c r="A44" s="6"/>
      <c r="B44" s="7"/>
      <c r="C44" s="13"/>
      <c r="D44" s="11"/>
      <c r="E44" s="11"/>
      <c r="F44" s="6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>
        <f t="shared" si="0"/>
        <v>914.5</v>
      </c>
      <c r="S44" s="11">
        <v>59</v>
      </c>
      <c r="T44" s="11">
        <v>15.5</v>
      </c>
    </row>
    <row r="45" spans="1:20" ht="14.25" customHeight="1" x14ac:dyDescent="0.2">
      <c r="A45" s="6">
        <v>4</v>
      </c>
      <c r="B45" s="7" t="s">
        <v>22</v>
      </c>
      <c r="C45" s="13" t="s">
        <v>393</v>
      </c>
      <c r="D45" s="11" t="s">
        <v>394</v>
      </c>
      <c r="E45" s="11" t="s">
        <v>395</v>
      </c>
      <c r="F45" s="6" t="s">
        <v>396</v>
      </c>
      <c r="G45" s="11" t="s">
        <v>381</v>
      </c>
      <c r="H45" s="11" t="s">
        <v>27</v>
      </c>
      <c r="I45" s="11">
        <v>26.332826000000001</v>
      </c>
      <c r="J45" s="11">
        <v>73.137463999999994</v>
      </c>
      <c r="K45" s="11" t="s">
        <v>397</v>
      </c>
      <c r="L45" s="11"/>
      <c r="M45" s="11"/>
      <c r="N45" s="11"/>
      <c r="O45" s="11"/>
      <c r="P45" s="12">
        <v>45803</v>
      </c>
      <c r="Q45" s="11"/>
      <c r="R45" s="11">
        <f t="shared" si="0"/>
        <v>963.5</v>
      </c>
      <c r="S45" s="11">
        <v>47</v>
      </c>
      <c r="T45" s="11">
        <v>20.5</v>
      </c>
    </row>
    <row r="46" spans="1:20" ht="14.25" customHeight="1" x14ac:dyDescent="0.2">
      <c r="A46" s="6"/>
      <c r="B46" s="7"/>
      <c r="C46" s="13"/>
      <c r="D46" s="11" t="s">
        <v>394</v>
      </c>
      <c r="E46" s="11" t="s">
        <v>395</v>
      </c>
      <c r="F46" s="6"/>
      <c r="G46" s="11"/>
      <c r="H46" s="11" t="s">
        <v>27</v>
      </c>
      <c r="I46" s="11">
        <v>26.33277</v>
      </c>
      <c r="J46" s="11">
        <v>73.137438000000003</v>
      </c>
      <c r="K46" s="11" t="s">
        <v>397</v>
      </c>
      <c r="L46" s="11"/>
      <c r="M46" s="11"/>
      <c r="N46" s="11"/>
      <c r="O46" s="11"/>
      <c r="P46" s="12">
        <v>45803</v>
      </c>
      <c r="Q46" s="11"/>
      <c r="R46" s="11">
        <f t="shared" si="0"/>
        <v>656</v>
      </c>
      <c r="S46" s="11">
        <v>32</v>
      </c>
      <c r="T46" s="11">
        <v>20.5</v>
      </c>
    </row>
    <row r="47" spans="1:20" ht="14.25" customHeight="1" x14ac:dyDescent="0.2">
      <c r="A47" s="6"/>
      <c r="B47" s="7"/>
      <c r="C47" s="13"/>
      <c r="D47" s="11" t="s">
        <v>394</v>
      </c>
      <c r="E47" s="11" t="s">
        <v>395</v>
      </c>
      <c r="F47" s="6"/>
      <c r="G47" s="11" t="s">
        <v>381</v>
      </c>
      <c r="H47" s="11" t="s">
        <v>27</v>
      </c>
      <c r="I47" s="11">
        <v>26.331202999999999</v>
      </c>
      <c r="J47" s="11">
        <v>73.136729000000003</v>
      </c>
      <c r="K47" s="11" t="s">
        <v>398</v>
      </c>
      <c r="L47" s="11"/>
      <c r="M47" s="11"/>
      <c r="N47" s="11"/>
      <c r="O47" s="11"/>
      <c r="P47" s="12">
        <v>45804</v>
      </c>
      <c r="Q47" s="11"/>
      <c r="R47" s="11">
        <f t="shared" si="0"/>
        <v>1040</v>
      </c>
      <c r="S47" s="11">
        <v>52</v>
      </c>
      <c r="T47" s="11">
        <v>20</v>
      </c>
    </row>
    <row r="48" spans="1:20" ht="14.25" customHeight="1" x14ac:dyDescent="0.2">
      <c r="A48" s="6"/>
      <c r="B48" s="7"/>
      <c r="C48" s="13"/>
      <c r="D48" s="11" t="s">
        <v>394</v>
      </c>
      <c r="E48" s="11" t="s">
        <v>395</v>
      </c>
      <c r="F48" s="6"/>
      <c r="G48" s="11" t="s">
        <v>381</v>
      </c>
      <c r="H48" s="11" t="s">
        <v>27</v>
      </c>
      <c r="I48" s="11">
        <v>26.331037999999999</v>
      </c>
      <c r="J48" s="11">
        <v>73.136689200000006</v>
      </c>
      <c r="K48" s="11" t="s">
        <v>399</v>
      </c>
      <c r="L48" s="11"/>
      <c r="M48" s="11"/>
      <c r="N48" s="11"/>
      <c r="O48" s="11"/>
      <c r="P48" s="12">
        <v>45804</v>
      </c>
      <c r="Q48" s="11"/>
      <c r="R48" s="11">
        <f t="shared" si="0"/>
        <v>400</v>
      </c>
      <c r="S48" s="11">
        <v>20</v>
      </c>
      <c r="T48" s="11">
        <v>20</v>
      </c>
    </row>
    <row r="49" spans="1:20" ht="14.25" customHeight="1" x14ac:dyDescent="0.2">
      <c r="A49" s="6"/>
      <c r="B49" s="7"/>
      <c r="C49" s="13"/>
      <c r="D49" s="11" t="s">
        <v>394</v>
      </c>
      <c r="E49" s="11" t="s">
        <v>395</v>
      </c>
      <c r="F49" s="6"/>
      <c r="G49" s="11" t="s">
        <v>381</v>
      </c>
      <c r="H49" s="11" t="s">
        <v>27</v>
      </c>
      <c r="I49" s="11">
        <v>26.332614</v>
      </c>
      <c r="J49" s="11">
        <v>73.13758</v>
      </c>
      <c r="K49" s="11" t="s">
        <v>400</v>
      </c>
      <c r="L49" s="11"/>
      <c r="M49" s="11"/>
      <c r="N49" s="11"/>
      <c r="O49" s="11"/>
      <c r="P49" s="12">
        <v>45803</v>
      </c>
      <c r="Q49" s="11"/>
      <c r="R49" s="11">
        <f t="shared" si="0"/>
        <v>920</v>
      </c>
      <c r="S49" s="11">
        <v>46</v>
      </c>
      <c r="T49" s="11">
        <v>20</v>
      </c>
    </row>
    <row r="50" spans="1:20" ht="14.25" customHeight="1" x14ac:dyDescent="0.2">
      <c r="A50" s="6"/>
      <c r="B50" s="7"/>
      <c r="C50" s="13"/>
      <c r="D50" s="11" t="s">
        <v>394</v>
      </c>
      <c r="E50" s="11" t="s">
        <v>395</v>
      </c>
      <c r="F50" s="6"/>
      <c r="G50" s="11" t="s">
        <v>381</v>
      </c>
      <c r="H50" s="11" t="s">
        <v>27</v>
      </c>
      <c r="I50" s="11">
        <v>26.331078999999999</v>
      </c>
      <c r="J50" s="11">
        <v>73.137147999999996</v>
      </c>
      <c r="K50" s="11" t="s">
        <v>401</v>
      </c>
      <c r="L50" s="11"/>
      <c r="M50" s="11"/>
      <c r="N50" s="11"/>
      <c r="O50" s="11"/>
      <c r="P50" s="12">
        <v>45804</v>
      </c>
      <c r="Q50" s="11"/>
      <c r="R50" s="11">
        <f t="shared" si="0"/>
        <v>1045.5</v>
      </c>
      <c r="S50" s="11">
        <v>51</v>
      </c>
      <c r="T50" s="11">
        <v>20.5</v>
      </c>
    </row>
    <row r="51" spans="1:20" ht="14.25" customHeight="1" x14ac:dyDescent="0.2">
      <c r="A51" s="6"/>
      <c r="B51" s="7"/>
      <c r="C51" s="13"/>
      <c r="D51" s="11" t="s">
        <v>394</v>
      </c>
      <c r="E51" s="11" t="s">
        <v>395</v>
      </c>
      <c r="F51" s="6"/>
      <c r="G51" s="11" t="s">
        <v>381</v>
      </c>
      <c r="H51" s="11" t="s">
        <v>27</v>
      </c>
      <c r="I51" s="11" t="s">
        <v>402</v>
      </c>
      <c r="J51" s="11">
        <v>73.137613999999999</v>
      </c>
      <c r="K51" s="11" t="s">
        <v>403</v>
      </c>
      <c r="L51" s="11"/>
      <c r="M51" s="11"/>
      <c r="N51" s="11"/>
      <c r="O51" s="11"/>
      <c r="P51" s="12">
        <v>45803</v>
      </c>
      <c r="Q51" s="11"/>
      <c r="R51" s="11">
        <f t="shared" si="0"/>
        <v>1045.5</v>
      </c>
      <c r="S51" s="11">
        <v>51</v>
      </c>
      <c r="T51" s="11">
        <v>20.5</v>
      </c>
    </row>
    <row r="52" spans="1:20" ht="14.25" customHeight="1" x14ac:dyDescent="0.2">
      <c r="A52" s="6">
        <v>5</v>
      </c>
      <c r="B52" s="7" t="s">
        <v>22</v>
      </c>
      <c r="C52" s="13" t="s">
        <v>404</v>
      </c>
      <c r="D52" s="11" t="s">
        <v>394</v>
      </c>
      <c r="E52" s="11" t="s">
        <v>395</v>
      </c>
      <c r="F52" s="6" t="s">
        <v>405</v>
      </c>
      <c r="G52" s="11" t="s">
        <v>381</v>
      </c>
      <c r="H52" s="11" t="s">
        <v>27</v>
      </c>
      <c r="I52" s="11">
        <v>26.149215000000002</v>
      </c>
      <c r="J52" s="11">
        <v>72.910349999999994</v>
      </c>
      <c r="K52" s="11" t="s">
        <v>406</v>
      </c>
      <c r="L52" s="11"/>
      <c r="M52" s="11"/>
      <c r="N52" s="11"/>
      <c r="O52" s="11"/>
      <c r="P52" s="12">
        <v>45806</v>
      </c>
      <c r="Q52" s="11"/>
      <c r="R52" s="11">
        <f t="shared" si="0"/>
        <v>1092</v>
      </c>
      <c r="S52" s="11">
        <v>52</v>
      </c>
      <c r="T52" s="11">
        <v>21</v>
      </c>
    </row>
    <row r="53" spans="1:20" ht="14.25" customHeight="1" x14ac:dyDescent="0.2">
      <c r="A53" s="6"/>
      <c r="B53" s="7"/>
      <c r="C53" s="13"/>
      <c r="D53" s="11"/>
      <c r="E53" s="11"/>
      <c r="F53" s="6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>
        <f t="shared" si="0"/>
        <v>525</v>
      </c>
      <c r="S53" s="11">
        <v>25</v>
      </c>
      <c r="T53" s="11">
        <v>21</v>
      </c>
    </row>
    <row r="54" spans="1:20" ht="14.25" customHeight="1" x14ac:dyDescent="0.2">
      <c r="A54" s="6"/>
      <c r="B54" s="7"/>
      <c r="C54" s="13"/>
      <c r="D54" s="11"/>
      <c r="E54" s="11"/>
      <c r="F54" s="6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>
        <f t="shared" si="0"/>
        <v>125</v>
      </c>
      <c r="S54" s="11">
        <v>25</v>
      </c>
      <c r="T54" s="11">
        <v>5</v>
      </c>
    </row>
    <row r="55" spans="1:20" ht="14.25" customHeight="1" x14ac:dyDescent="0.2">
      <c r="A55" s="6"/>
      <c r="B55" s="7"/>
      <c r="C55" s="13"/>
      <c r="D55" s="11"/>
      <c r="E55" s="11"/>
      <c r="F55" s="6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>
        <f t="shared" si="0"/>
        <v>48</v>
      </c>
      <c r="S55" s="11">
        <v>12</v>
      </c>
      <c r="T55" s="11">
        <v>4</v>
      </c>
    </row>
    <row r="56" spans="1:20" ht="14.25" customHeight="1" x14ac:dyDescent="0.2">
      <c r="A56" s="6"/>
      <c r="B56" s="7"/>
      <c r="C56" s="13"/>
      <c r="D56" s="11" t="s">
        <v>394</v>
      </c>
      <c r="E56" s="11" t="s">
        <v>407</v>
      </c>
      <c r="F56" s="6"/>
      <c r="G56" s="11"/>
      <c r="H56" s="11"/>
      <c r="I56" s="11"/>
      <c r="J56" s="11"/>
      <c r="K56" s="11"/>
      <c r="L56" s="11"/>
      <c r="M56" s="11"/>
      <c r="N56" s="11"/>
      <c r="O56" s="11"/>
      <c r="P56" s="12">
        <v>45806</v>
      </c>
      <c r="Q56" s="11"/>
      <c r="R56" s="11">
        <f t="shared" si="0"/>
        <v>28</v>
      </c>
      <c r="S56" s="11">
        <v>4</v>
      </c>
      <c r="T56" s="11">
        <v>7</v>
      </c>
    </row>
    <row r="57" spans="1:20" ht="14.25" customHeight="1" x14ac:dyDescent="0.2">
      <c r="A57" s="6"/>
      <c r="B57" s="7"/>
      <c r="C57" s="13"/>
      <c r="D57" s="11" t="s">
        <v>394</v>
      </c>
      <c r="E57" s="11" t="s">
        <v>407</v>
      </c>
      <c r="F57" s="6"/>
      <c r="G57"/>
      <c r="H57"/>
      <c r="I57"/>
      <c r="J57"/>
      <c r="K57"/>
      <c r="L57" s="11"/>
      <c r="M57" s="11"/>
      <c r="N57" s="11"/>
      <c r="O57" s="11"/>
      <c r="P57" s="12">
        <v>45806</v>
      </c>
      <c r="Q57" s="11"/>
      <c r="R57" s="11">
        <f t="shared" si="0"/>
        <v>120</v>
      </c>
      <c r="S57" s="11">
        <v>10</v>
      </c>
      <c r="T57" s="11">
        <v>12</v>
      </c>
    </row>
    <row r="58" spans="1:20" ht="14.25" customHeight="1" x14ac:dyDescent="0.2">
      <c r="A58" s="6"/>
      <c r="B58" s="7"/>
      <c r="C58" s="13"/>
      <c r="D58" s="11" t="s">
        <v>394</v>
      </c>
      <c r="E58" s="11" t="s">
        <v>407</v>
      </c>
      <c r="F58" s="6"/>
      <c r="G58"/>
      <c r="H58"/>
      <c r="I58"/>
      <c r="J58"/>
      <c r="K58"/>
      <c r="L58" s="11"/>
      <c r="M58" s="11"/>
      <c r="N58" s="11"/>
      <c r="O58" s="11"/>
      <c r="P58" s="12">
        <v>45806</v>
      </c>
      <c r="Q58" s="11"/>
      <c r="R58" s="11">
        <f t="shared" si="0"/>
        <v>24</v>
      </c>
      <c r="S58" s="11">
        <v>12</v>
      </c>
      <c r="T58" s="11">
        <v>2</v>
      </c>
    </row>
    <row r="59" spans="1:20" ht="14.25" customHeight="1" x14ac:dyDescent="0.2">
      <c r="A59" s="6"/>
      <c r="B59" s="7"/>
      <c r="C59" s="13"/>
      <c r="D59" s="11"/>
      <c r="E59" s="11"/>
      <c r="F59" s="6"/>
      <c r="G59" s="11" t="s">
        <v>381</v>
      </c>
      <c r="H59" s="11" t="s">
        <v>27</v>
      </c>
      <c r="I59" s="11">
        <v>26.149086</v>
      </c>
      <c r="J59" s="11">
        <v>72.910279000000003</v>
      </c>
      <c r="K59" s="11" t="s">
        <v>408</v>
      </c>
      <c r="L59" s="11"/>
      <c r="M59" s="11"/>
      <c r="N59" s="11"/>
      <c r="O59" s="11"/>
      <c r="P59" s="12"/>
      <c r="Q59" s="11"/>
      <c r="R59" s="11">
        <f t="shared" si="0"/>
        <v>500</v>
      </c>
      <c r="S59" s="11">
        <v>25</v>
      </c>
      <c r="T59" s="11">
        <v>20</v>
      </c>
    </row>
    <row r="60" spans="1:20" ht="14.25" customHeight="1" x14ac:dyDescent="0.2">
      <c r="A60" s="6"/>
      <c r="B60" s="7"/>
      <c r="C60" s="13"/>
      <c r="D60" s="11"/>
      <c r="E60" s="11"/>
      <c r="F60" s="6"/>
      <c r="G60" s="11" t="s">
        <v>381</v>
      </c>
      <c r="H60" s="11" t="s">
        <v>27</v>
      </c>
      <c r="I60" s="11">
        <v>26.149353000000001</v>
      </c>
      <c r="J60" s="11">
        <v>72.910210000000006</v>
      </c>
      <c r="K60" s="11" t="s">
        <v>408</v>
      </c>
      <c r="L60" s="11"/>
      <c r="M60" s="11"/>
      <c r="N60" s="11"/>
      <c r="O60" s="11"/>
      <c r="P60" s="12"/>
      <c r="Q60" s="11"/>
      <c r="R60" s="11">
        <f t="shared" si="0"/>
        <v>1060</v>
      </c>
      <c r="S60" s="11">
        <v>53</v>
      </c>
      <c r="T60" s="11">
        <v>20</v>
      </c>
    </row>
    <row r="61" spans="1:20" ht="14.25" customHeight="1" x14ac:dyDescent="0.2">
      <c r="A61" s="6">
        <v>6</v>
      </c>
      <c r="B61" s="7" t="s">
        <v>22</v>
      </c>
      <c r="C61" s="13" t="s">
        <v>409</v>
      </c>
      <c r="D61" s="11" t="s">
        <v>394</v>
      </c>
      <c r="E61" s="11" t="s">
        <v>407</v>
      </c>
      <c r="F61" s="6" t="s">
        <v>410</v>
      </c>
      <c r="G61" s="11" t="s">
        <v>381</v>
      </c>
      <c r="H61" s="11" t="s">
        <v>27</v>
      </c>
      <c r="I61" s="11">
        <v>26.247599000000001</v>
      </c>
      <c r="J61" s="11">
        <v>72966496</v>
      </c>
      <c r="K61" s="11" t="s">
        <v>411</v>
      </c>
      <c r="L61" s="11"/>
      <c r="M61" s="11"/>
      <c r="N61" s="11"/>
      <c r="O61" s="11"/>
      <c r="P61" s="12">
        <v>45806</v>
      </c>
      <c r="Q61" s="11"/>
      <c r="R61" s="11">
        <f t="shared" si="0"/>
        <v>512</v>
      </c>
      <c r="S61" s="11">
        <v>32</v>
      </c>
      <c r="T61" s="11">
        <v>16</v>
      </c>
    </row>
    <row r="62" spans="1:20" ht="14.25" customHeight="1" x14ac:dyDescent="0.2">
      <c r="A62" s="6"/>
      <c r="B62" s="7"/>
      <c r="C62" s="13"/>
      <c r="D62" s="11" t="s">
        <v>394</v>
      </c>
      <c r="E62" s="11" t="s">
        <v>407</v>
      </c>
      <c r="F62" s="6"/>
      <c r="G62" s="11" t="s">
        <v>381</v>
      </c>
      <c r="H62" s="18" t="s">
        <v>27</v>
      </c>
      <c r="I62" s="11">
        <v>26.247481000000001</v>
      </c>
      <c r="J62" s="11">
        <v>72.966797999999997</v>
      </c>
      <c r="K62" s="11" t="s">
        <v>412</v>
      </c>
      <c r="P62" s="12">
        <v>45806</v>
      </c>
      <c r="Q62" s="11"/>
      <c r="R62" s="11">
        <f t="shared" si="0"/>
        <v>738</v>
      </c>
      <c r="S62" s="11">
        <v>41</v>
      </c>
      <c r="T62" s="11">
        <v>18</v>
      </c>
    </row>
    <row r="63" spans="1:20" ht="14.25" customHeight="1" x14ac:dyDescent="0.2">
      <c r="A63" s="6"/>
      <c r="B63" s="7"/>
      <c r="C63" s="13"/>
      <c r="D63" s="11" t="s">
        <v>394</v>
      </c>
      <c r="E63" s="11" t="s">
        <v>407</v>
      </c>
      <c r="F63" s="6"/>
      <c r="G63"/>
      <c r="H63"/>
      <c r="I63"/>
      <c r="J63"/>
      <c r="K63"/>
      <c r="L63" s="11"/>
      <c r="M63" s="11"/>
      <c r="N63" s="11"/>
      <c r="O63" s="11"/>
      <c r="P63" s="12">
        <v>45806</v>
      </c>
      <c r="Q63" s="11"/>
      <c r="R63" s="11">
        <f t="shared" si="0"/>
        <v>156</v>
      </c>
      <c r="S63" s="11">
        <v>26</v>
      </c>
      <c r="T63" s="11">
        <v>6</v>
      </c>
    </row>
    <row r="64" spans="1:20" ht="14.25" customHeight="1" x14ac:dyDescent="0.2">
      <c r="A64" s="6"/>
      <c r="B64" s="7"/>
      <c r="C64" s="13"/>
      <c r="D64" s="11" t="s">
        <v>394</v>
      </c>
      <c r="E64" s="11" t="s">
        <v>407</v>
      </c>
      <c r="F64" s="6"/>
      <c r="G64" s="11" t="s">
        <v>381</v>
      </c>
      <c r="H64" s="11" t="s">
        <v>27</v>
      </c>
      <c r="I64" s="11">
        <v>26.272375</v>
      </c>
      <c r="J64" s="11">
        <v>73.023343999999994</v>
      </c>
      <c r="K64" s="11" t="s">
        <v>413</v>
      </c>
      <c r="L64" s="11"/>
      <c r="M64" s="11"/>
      <c r="N64" s="11"/>
      <c r="O64" s="11"/>
      <c r="P64" s="12">
        <v>45806</v>
      </c>
      <c r="Q64" s="11"/>
      <c r="R64" s="11">
        <f t="shared" si="0"/>
        <v>414</v>
      </c>
      <c r="S64" s="11">
        <v>46</v>
      </c>
      <c r="T64" s="11">
        <v>9</v>
      </c>
    </row>
    <row r="65" spans="1:20" ht="14.25" customHeight="1" x14ac:dyDescent="0.2">
      <c r="A65" s="6"/>
      <c r="B65" s="6"/>
      <c r="C65" s="6"/>
      <c r="D65" s="11" t="s">
        <v>394</v>
      </c>
      <c r="E65" s="11" t="s">
        <v>407</v>
      </c>
      <c r="F65" s="6"/>
      <c r="G65" s="11" t="s">
        <v>381</v>
      </c>
      <c r="H65" s="11" t="s">
        <v>27</v>
      </c>
      <c r="I65" s="11">
        <v>26.272306</v>
      </c>
      <c r="J65" s="11">
        <v>73.023409999999998</v>
      </c>
      <c r="K65" s="11" t="s">
        <v>414</v>
      </c>
      <c r="L65" s="11"/>
      <c r="M65" s="11"/>
      <c r="N65" s="11"/>
      <c r="O65" s="11"/>
      <c r="P65" s="12">
        <v>45806</v>
      </c>
      <c r="Q65" s="11"/>
      <c r="R65" s="11">
        <f t="shared" si="0"/>
        <v>450</v>
      </c>
      <c r="S65" s="11">
        <v>50</v>
      </c>
      <c r="T65" s="11">
        <v>9</v>
      </c>
    </row>
    <row r="66" spans="1:20" ht="14.25" customHeight="1" x14ac:dyDescent="0.2">
      <c r="A66" s="6">
        <v>7</v>
      </c>
      <c r="B66" s="7" t="s">
        <v>22</v>
      </c>
      <c r="C66" s="13" t="s">
        <v>415</v>
      </c>
      <c r="D66" s="11" t="s">
        <v>394</v>
      </c>
      <c r="E66" s="11" t="s">
        <v>407</v>
      </c>
      <c r="F66" s="6" t="s">
        <v>416</v>
      </c>
      <c r="G66" s="11" t="s">
        <v>381</v>
      </c>
      <c r="H66" s="11" t="s">
        <v>27</v>
      </c>
      <c r="I66" s="11">
        <v>26.259125999999998</v>
      </c>
      <c r="J66" s="11">
        <v>73.005060999999998</v>
      </c>
      <c r="K66" s="11" t="s">
        <v>417</v>
      </c>
      <c r="L66" s="11"/>
      <c r="M66" s="11"/>
      <c r="N66" s="11"/>
      <c r="O66" s="11"/>
      <c r="P66" s="12">
        <v>45808</v>
      </c>
      <c r="Q66" s="11"/>
      <c r="R66" s="11">
        <f t="shared" si="0"/>
        <v>504</v>
      </c>
      <c r="S66" s="11">
        <v>36</v>
      </c>
      <c r="T66" s="11">
        <v>14</v>
      </c>
    </row>
    <row r="67" spans="1:20" ht="14.25" customHeight="1" x14ac:dyDescent="0.2">
      <c r="A67" s="6"/>
      <c r="B67" s="7"/>
      <c r="C67" s="13"/>
      <c r="D67" s="11" t="s">
        <v>394</v>
      </c>
      <c r="E67" s="11" t="s">
        <v>407</v>
      </c>
      <c r="F67" s="6"/>
      <c r="G67"/>
      <c r="H67"/>
      <c r="I67"/>
      <c r="J67"/>
      <c r="K67"/>
      <c r="L67" s="11"/>
      <c r="M67" s="11"/>
      <c r="N67" s="11"/>
      <c r="O67" s="11"/>
      <c r="P67" s="12">
        <v>45808</v>
      </c>
      <c r="Q67" s="11"/>
      <c r="R67" s="11">
        <f t="shared" si="0"/>
        <v>406</v>
      </c>
      <c r="S67" s="11">
        <v>29</v>
      </c>
      <c r="T67" s="11">
        <v>14</v>
      </c>
    </row>
    <row r="68" spans="1:20" ht="14.25" customHeight="1" x14ac:dyDescent="0.2">
      <c r="A68" s="6"/>
      <c r="B68" s="6"/>
      <c r="C68" s="6"/>
      <c r="D68" s="11" t="s">
        <v>394</v>
      </c>
      <c r="E68" s="11" t="s">
        <v>395</v>
      </c>
      <c r="F68" s="6"/>
      <c r="G68" s="11" t="s">
        <v>381</v>
      </c>
      <c r="H68" s="11" t="s">
        <v>27</v>
      </c>
      <c r="I68" s="11">
        <v>26.259340000000002</v>
      </c>
      <c r="J68" s="11">
        <v>73.004806000000002</v>
      </c>
      <c r="K68" s="11" t="s">
        <v>418</v>
      </c>
      <c r="L68" s="11"/>
      <c r="M68" s="11"/>
      <c r="N68" s="11"/>
      <c r="O68" s="11"/>
      <c r="P68" s="12">
        <v>45808</v>
      </c>
      <c r="Q68" s="11"/>
      <c r="R68" s="11">
        <f t="shared" ref="R68:R131" si="1">S68*T68</f>
        <v>494</v>
      </c>
      <c r="S68" s="11">
        <v>38</v>
      </c>
      <c r="T68" s="11">
        <v>13</v>
      </c>
    </row>
    <row r="69" spans="1:20" ht="14.25" customHeight="1" x14ac:dyDescent="0.2">
      <c r="A69" s="6">
        <v>8</v>
      </c>
      <c r="B69" s="7" t="s">
        <v>22</v>
      </c>
      <c r="C69" s="13" t="s">
        <v>419</v>
      </c>
      <c r="D69" s="11" t="s">
        <v>394</v>
      </c>
      <c r="E69" s="11" t="s">
        <v>407</v>
      </c>
      <c r="F69" s="6" t="s">
        <v>420</v>
      </c>
      <c r="G69" s="11" t="s">
        <v>381</v>
      </c>
      <c r="H69" s="11" t="s">
        <v>27</v>
      </c>
      <c r="I69" s="11">
        <v>26.207421</v>
      </c>
      <c r="J69" s="11">
        <v>72.985855000000001</v>
      </c>
      <c r="K69" s="11" t="s">
        <v>421</v>
      </c>
      <c r="L69" s="11"/>
      <c r="M69" s="11"/>
      <c r="N69" s="11"/>
      <c r="O69" s="11"/>
      <c r="P69" s="12" t="s">
        <v>131</v>
      </c>
      <c r="Q69" s="11"/>
      <c r="R69" s="11">
        <f t="shared" si="1"/>
        <v>994.5</v>
      </c>
      <c r="S69" s="11">
        <v>117</v>
      </c>
      <c r="T69" s="11">
        <v>8.5</v>
      </c>
    </row>
    <row r="70" spans="1:20" ht="14.25" customHeight="1" x14ac:dyDescent="0.2">
      <c r="A70" s="6"/>
      <c r="B70" s="7"/>
      <c r="C70" s="13"/>
      <c r="D70" s="11" t="s">
        <v>394</v>
      </c>
      <c r="E70" s="11" t="s">
        <v>422</v>
      </c>
      <c r="F70" s="6"/>
      <c r="G70" s="11" t="s">
        <v>381</v>
      </c>
      <c r="H70" s="11" t="s">
        <v>423</v>
      </c>
      <c r="I70" s="11">
        <v>26.208734</v>
      </c>
      <c r="J70" s="11">
        <v>72.985855000000001</v>
      </c>
      <c r="K70" s="11" t="s">
        <v>424</v>
      </c>
      <c r="L70" s="11"/>
      <c r="M70" s="11"/>
      <c r="N70" s="11"/>
      <c r="O70" s="11"/>
      <c r="P70" s="12">
        <v>45809</v>
      </c>
      <c r="Q70" s="11"/>
      <c r="R70" s="11">
        <f t="shared" si="1"/>
        <v>924</v>
      </c>
      <c r="S70" s="11">
        <v>42</v>
      </c>
      <c r="T70" s="11">
        <v>22</v>
      </c>
    </row>
    <row r="71" spans="1:20" ht="14.25" customHeight="1" x14ac:dyDescent="0.2">
      <c r="A71" s="6"/>
      <c r="B71" s="7"/>
      <c r="C71" s="13"/>
      <c r="D71" s="11" t="s">
        <v>394</v>
      </c>
      <c r="E71" s="11" t="s">
        <v>407</v>
      </c>
      <c r="F71" s="6"/>
      <c r="G71" s="11" t="s">
        <v>381</v>
      </c>
      <c r="H71" s="11" t="s">
        <v>27</v>
      </c>
      <c r="I71" s="11">
        <v>26.208469999999998</v>
      </c>
      <c r="J71" s="11">
        <v>73.985851999999994</v>
      </c>
      <c r="K71" s="11" t="s">
        <v>425</v>
      </c>
      <c r="L71" s="11"/>
      <c r="M71" s="11"/>
      <c r="N71" s="11"/>
      <c r="O71" s="11"/>
      <c r="P71" s="12">
        <v>45809</v>
      </c>
      <c r="Q71" s="11"/>
      <c r="R71" s="11">
        <f t="shared" si="1"/>
        <v>924</v>
      </c>
      <c r="S71" s="11">
        <v>42</v>
      </c>
      <c r="T71" s="11">
        <v>22</v>
      </c>
    </row>
    <row r="72" spans="1:20" ht="14.25" customHeight="1" x14ac:dyDescent="0.2">
      <c r="A72" s="6"/>
      <c r="B72" s="7"/>
      <c r="C72" s="13"/>
      <c r="D72" s="11" t="s">
        <v>394</v>
      </c>
      <c r="E72" s="11" t="s">
        <v>407</v>
      </c>
      <c r="F72" s="6"/>
      <c r="G72" s="11" t="s">
        <v>381</v>
      </c>
      <c r="H72" s="11" t="s">
        <v>27</v>
      </c>
      <c r="I72" s="11">
        <v>26.194486999999999</v>
      </c>
      <c r="J72" s="11">
        <v>73.020807000000005</v>
      </c>
      <c r="K72" s="11" t="s">
        <v>426</v>
      </c>
      <c r="L72" s="11"/>
      <c r="M72" s="11"/>
      <c r="N72" s="11"/>
      <c r="O72" s="11"/>
      <c r="P72" s="12" t="s">
        <v>134</v>
      </c>
      <c r="Q72" s="11"/>
      <c r="R72" s="11">
        <f t="shared" si="1"/>
        <v>1914</v>
      </c>
      <c r="S72" s="11">
        <v>87</v>
      </c>
      <c r="T72" s="11">
        <v>22</v>
      </c>
    </row>
    <row r="73" spans="1:20" ht="14.25" customHeight="1" x14ac:dyDescent="0.2">
      <c r="A73" s="6"/>
      <c r="B73" s="7"/>
      <c r="C73" s="13"/>
      <c r="D73" s="11" t="s">
        <v>394</v>
      </c>
      <c r="E73" s="11" t="s">
        <v>395</v>
      </c>
      <c r="F73" s="6"/>
      <c r="G73" s="11" t="s">
        <v>381</v>
      </c>
      <c r="H73" s="11" t="s">
        <v>27</v>
      </c>
      <c r="I73" s="11">
        <v>26.199341</v>
      </c>
      <c r="J73" s="11">
        <v>72.993481000000003</v>
      </c>
      <c r="K73" s="11" t="s">
        <v>427</v>
      </c>
      <c r="L73" s="11"/>
      <c r="M73" s="11"/>
      <c r="N73" s="11"/>
      <c r="O73" s="11"/>
      <c r="P73" s="12">
        <v>45810</v>
      </c>
      <c r="Q73" s="11"/>
      <c r="R73" s="11">
        <f t="shared" si="1"/>
        <v>1225</v>
      </c>
      <c r="S73" s="11">
        <v>70</v>
      </c>
      <c r="T73" s="11">
        <v>17.5</v>
      </c>
    </row>
    <row r="74" spans="1:20" ht="14.25" customHeight="1" x14ac:dyDescent="0.2">
      <c r="A74" s="6"/>
      <c r="B74" s="7"/>
      <c r="C74" s="7"/>
      <c r="D74" s="18" t="s">
        <v>394</v>
      </c>
      <c r="E74" s="11" t="s">
        <v>407</v>
      </c>
      <c r="F74" s="6"/>
      <c r="G74" s="11" t="s">
        <v>381</v>
      </c>
      <c r="H74" s="11" t="s">
        <v>27</v>
      </c>
      <c r="I74" s="11">
        <v>26.199252000000001</v>
      </c>
      <c r="J74" s="11">
        <v>72.993002000000004</v>
      </c>
      <c r="K74" s="11" t="s">
        <v>428</v>
      </c>
      <c r="L74" s="11"/>
      <c r="M74" s="11"/>
      <c r="N74" s="11"/>
      <c r="O74" s="11"/>
      <c r="P74" s="12" t="s">
        <v>141</v>
      </c>
      <c r="Q74" s="11"/>
      <c r="R74" s="11">
        <f t="shared" si="1"/>
        <v>1330</v>
      </c>
      <c r="S74" s="11">
        <v>70</v>
      </c>
      <c r="T74" s="11">
        <v>19</v>
      </c>
    </row>
    <row r="75" spans="1:20" ht="14.25" customHeight="1" x14ac:dyDescent="0.2">
      <c r="A75" s="73">
        <v>9</v>
      </c>
      <c r="B75" s="7" t="s">
        <v>22</v>
      </c>
      <c r="C75" s="13" t="s">
        <v>429</v>
      </c>
      <c r="D75" s="11" t="s">
        <v>394</v>
      </c>
      <c r="E75" s="11" t="s">
        <v>407</v>
      </c>
      <c r="F75" s="6" t="s">
        <v>430</v>
      </c>
      <c r="G75" s="11" t="s">
        <v>381</v>
      </c>
      <c r="H75" s="11" t="s">
        <v>27</v>
      </c>
      <c r="I75" s="11">
        <v>26.199159999999999</v>
      </c>
      <c r="J75" s="11">
        <v>72.994990000000001</v>
      </c>
      <c r="K75" s="11" t="s">
        <v>431</v>
      </c>
      <c r="L75" s="11"/>
      <c r="M75" s="11"/>
      <c r="N75" s="11"/>
      <c r="O75" s="11"/>
      <c r="P75" s="12">
        <v>45810</v>
      </c>
      <c r="Q75" s="11"/>
      <c r="R75" s="11">
        <f t="shared" si="1"/>
        <v>1137.5</v>
      </c>
      <c r="S75" s="11">
        <v>65</v>
      </c>
      <c r="T75" s="11">
        <v>17.5</v>
      </c>
    </row>
    <row r="76" spans="1:20" ht="14.25" customHeight="1" x14ac:dyDescent="0.2">
      <c r="A76" s="73"/>
      <c r="B76" s="7"/>
      <c r="C76" s="13"/>
      <c r="D76" s="11" t="s">
        <v>394</v>
      </c>
      <c r="E76" s="11" t="s">
        <v>407</v>
      </c>
      <c r="F76" s="6"/>
      <c r="G76" s="11" t="s">
        <v>381</v>
      </c>
      <c r="H76" s="11" t="s">
        <v>27</v>
      </c>
      <c r="I76" s="11">
        <v>26.199741</v>
      </c>
      <c r="J76" s="11">
        <v>72.995039000000006</v>
      </c>
      <c r="K76" s="11" t="s">
        <v>432</v>
      </c>
      <c r="L76" s="11"/>
      <c r="M76" s="11"/>
      <c r="N76" s="11"/>
      <c r="O76" s="11"/>
      <c r="P76" s="12">
        <v>45810</v>
      </c>
      <c r="Q76" s="11"/>
      <c r="R76" s="11">
        <f t="shared" si="1"/>
        <v>1137.5</v>
      </c>
      <c r="S76" s="11">
        <v>65</v>
      </c>
      <c r="T76" s="11">
        <v>17.5</v>
      </c>
    </row>
    <row r="77" spans="1:20" ht="14.25" customHeight="1" x14ac:dyDescent="0.2">
      <c r="A77" s="73"/>
      <c r="B77" s="7"/>
      <c r="C77" s="13"/>
      <c r="D77" s="11" t="s">
        <v>394</v>
      </c>
      <c r="E77" s="11" t="s">
        <v>407</v>
      </c>
      <c r="F77" s="6"/>
      <c r="G77" s="11" t="s">
        <v>381</v>
      </c>
      <c r="H77" s="11" t="s">
        <v>27</v>
      </c>
      <c r="I77" s="11">
        <v>26.526446</v>
      </c>
      <c r="J77" s="11">
        <v>72.981907000000007</v>
      </c>
      <c r="K77" s="11" t="s">
        <v>433</v>
      </c>
      <c r="L77" s="11"/>
      <c r="M77" s="11"/>
      <c r="N77" s="11"/>
      <c r="O77" s="11"/>
      <c r="P77" s="12">
        <v>45811</v>
      </c>
      <c r="Q77" s="11"/>
      <c r="R77" s="11">
        <f t="shared" si="1"/>
        <v>850</v>
      </c>
      <c r="S77" s="11">
        <v>50</v>
      </c>
      <c r="T77" s="11">
        <v>17</v>
      </c>
    </row>
    <row r="78" spans="1:20" ht="14.25" customHeight="1" x14ac:dyDescent="0.2">
      <c r="A78" s="73"/>
      <c r="B78" s="7"/>
      <c r="C78" s="13"/>
      <c r="D78" s="11" t="s">
        <v>394</v>
      </c>
      <c r="E78" s="11" t="s">
        <v>407</v>
      </c>
      <c r="F78" s="6"/>
      <c r="G78" s="11" t="s">
        <v>381</v>
      </c>
      <c r="H78" s="11" t="s">
        <v>27</v>
      </c>
      <c r="I78" s="11">
        <v>26.526543</v>
      </c>
      <c r="J78" s="11">
        <v>72.982393999999999</v>
      </c>
      <c r="K78" s="11" t="s">
        <v>434</v>
      </c>
      <c r="L78" s="11"/>
      <c r="M78" s="11"/>
      <c r="N78" s="11"/>
      <c r="O78" s="11"/>
      <c r="P78" s="12">
        <v>45811</v>
      </c>
      <c r="Q78" s="11"/>
      <c r="R78" s="11">
        <f t="shared" si="1"/>
        <v>756</v>
      </c>
      <c r="S78" s="11">
        <v>42</v>
      </c>
      <c r="T78" s="11">
        <v>18</v>
      </c>
    </row>
    <row r="79" spans="1:20" ht="14.25" customHeight="1" x14ac:dyDescent="0.2">
      <c r="A79" s="15">
        <v>10</v>
      </c>
      <c r="B79" s="16" t="s">
        <v>22</v>
      </c>
      <c r="C79" s="74" t="s">
        <v>435</v>
      </c>
      <c r="D79" s="11" t="s">
        <v>394</v>
      </c>
      <c r="E79" s="11" t="s">
        <v>407</v>
      </c>
      <c r="F79" s="6" t="s">
        <v>436</v>
      </c>
      <c r="G79" s="11" t="s">
        <v>381</v>
      </c>
      <c r="H79" s="11" t="s">
        <v>27</v>
      </c>
      <c r="I79" s="11">
        <v>27.10764</v>
      </c>
      <c r="J79" s="11">
        <v>72.370729999999995</v>
      </c>
      <c r="K79" s="11" t="s">
        <v>437</v>
      </c>
      <c r="L79" s="11"/>
      <c r="M79" s="11"/>
      <c r="N79" s="11"/>
      <c r="O79" s="11"/>
      <c r="P79" s="12">
        <v>45812</v>
      </c>
      <c r="Q79" s="11"/>
      <c r="R79" s="11">
        <f t="shared" si="1"/>
        <v>1997.5</v>
      </c>
      <c r="S79" s="11">
        <v>235</v>
      </c>
      <c r="T79" s="11">
        <v>8.5</v>
      </c>
    </row>
    <row r="80" spans="1:20" ht="14.25" customHeight="1" x14ac:dyDescent="0.2">
      <c r="A80" s="15"/>
      <c r="B80" s="16"/>
      <c r="C80" s="74"/>
      <c r="D80" s="11" t="s">
        <v>394</v>
      </c>
      <c r="E80" s="11" t="s">
        <v>407</v>
      </c>
      <c r="F80" s="6"/>
      <c r="G80" s="11" t="s">
        <v>381</v>
      </c>
      <c r="H80" s="11" t="s">
        <v>27</v>
      </c>
      <c r="I80" s="11">
        <v>27.107628999999999</v>
      </c>
      <c r="J80" s="11">
        <v>72.370795999999999</v>
      </c>
      <c r="K80" s="11" t="s">
        <v>438</v>
      </c>
      <c r="L80" s="11"/>
      <c r="M80" s="11"/>
      <c r="N80" s="11"/>
      <c r="O80" s="11"/>
      <c r="P80" s="12">
        <v>45811</v>
      </c>
      <c r="Q80" s="11"/>
      <c r="R80" s="11">
        <f t="shared" si="1"/>
        <v>1487.5</v>
      </c>
      <c r="S80" s="11">
        <v>175</v>
      </c>
      <c r="T80" s="11">
        <v>8.5</v>
      </c>
    </row>
    <row r="81" spans="1:20" ht="14.25" customHeight="1" x14ac:dyDescent="0.2">
      <c r="A81" s="15"/>
      <c r="B81" s="16"/>
      <c r="C81" s="74"/>
      <c r="D81" s="11" t="s">
        <v>394</v>
      </c>
      <c r="E81" s="11" t="s">
        <v>407</v>
      </c>
      <c r="F81" s="6"/>
      <c r="G81" s="11" t="s">
        <v>381</v>
      </c>
      <c r="H81" s="11" t="s">
        <v>27</v>
      </c>
      <c r="I81" s="11">
        <v>27.108022999999999</v>
      </c>
      <c r="J81" s="11">
        <v>72.371313999999998</v>
      </c>
      <c r="K81" s="11" t="s">
        <v>439</v>
      </c>
      <c r="L81" s="11"/>
      <c r="M81" s="11"/>
      <c r="N81" s="11"/>
      <c r="O81" s="11"/>
      <c r="P81" s="12">
        <v>45812</v>
      </c>
      <c r="Q81" s="11"/>
      <c r="R81" s="11">
        <f t="shared" si="1"/>
        <v>1810.5</v>
      </c>
      <c r="S81" s="11">
        <v>213</v>
      </c>
      <c r="T81" s="11">
        <v>8.5</v>
      </c>
    </row>
    <row r="82" spans="1:20" ht="14.25" customHeight="1" x14ac:dyDescent="0.2">
      <c r="A82" s="6">
        <v>11</v>
      </c>
      <c r="B82" s="7" t="s">
        <v>22</v>
      </c>
      <c r="C82" s="13" t="s">
        <v>440</v>
      </c>
      <c r="D82" s="11" t="s">
        <v>394</v>
      </c>
      <c r="E82" s="11" t="s">
        <v>441</v>
      </c>
      <c r="F82" s="14" t="s">
        <v>442</v>
      </c>
      <c r="G82" s="11" t="s">
        <v>381</v>
      </c>
      <c r="H82" s="11" t="s">
        <v>27</v>
      </c>
      <c r="I82" s="11">
        <v>26.927766099999999</v>
      </c>
      <c r="J82" s="11">
        <v>70.944641000000004</v>
      </c>
      <c r="K82" s="11" t="s">
        <v>443</v>
      </c>
      <c r="L82" s="11"/>
      <c r="M82" s="11"/>
      <c r="N82" s="11"/>
      <c r="O82" s="11"/>
      <c r="P82" s="11" t="s">
        <v>164</v>
      </c>
      <c r="Q82" s="11"/>
      <c r="R82" s="11">
        <f t="shared" si="1"/>
        <v>1755</v>
      </c>
      <c r="S82" s="11">
        <v>270</v>
      </c>
      <c r="T82" s="11">
        <v>6.5</v>
      </c>
    </row>
    <row r="83" spans="1:20" ht="14.25" customHeight="1" x14ac:dyDescent="0.2">
      <c r="A83" s="6"/>
      <c r="B83" s="7"/>
      <c r="C83" s="13"/>
      <c r="D83" s="11" t="s">
        <v>394</v>
      </c>
      <c r="E83" s="11" t="s">
        <v>441</v>
      </c>
      <c r="F83" s="14"/>
      <c r="G83" s="11" t="s">
        <v>381</v>
      </c>
      <c r="H83" s="11" t="s">
        <v>27</v>
      </c>
      <c r="I83" s="11">
        <v>26.927626</v>
      </c>
      <c r="J83" s="11">
        <v>70.944637</v>
      </c>
      <c r="K83" s="11" t="s">
        <v>444</v>
      </c>
      <c r="L83" s="11"/>
      <c r="M83" s="11"/>
      <c r="N83" s="11"/>
      <c r="O83" s="11"/>
      <c r="P83" s="11" t="s">
        <v>238</v>
      </c>
      <c r="Q83" s="11"/>
      <c r="R83" s="11">
        <f t="shared" si="1"/>
        <v>1470</v>
      </c>
      <c r="S83" s="11">
        <v>245</v>
      </c>
      <c r="T83" s="11">
        <v>6</v>
      </c>
    </row>
    <row r="84" spans="1:20" ht="14.25" customHeight="1" x14ac:dyDescent="0.2">
      <c r="A84" s="6">
        <v>12</v>
      </c>
      <c r="B84" s="7" t="s">
        <v>22</v>
      </c>
      <c r="C84" s="13" t="s">
        <v>445</v>
      </c>
      <c r="D84" s="11" t="s">
        <v>394</v>
      </c>
      <c r="E84" s="11" t="s">
        <v>441</v>
      </c>
      <c r="F84" s="14" t="s">
        <v>446</v>
      </c>
      <c r="G84" s="11" t="s">
        <v>381</v>
      </c>
      <c r="H84" s="11" t="s">
        <v>27</v>
      </c>
      <c r="I84" s="11">
        <v>26.93252</v>
      </c>
      <c r="J84" s="11">
        <v>71.904678000000004</v>
      </c>
      <c r="K84" s="11" t="s">
        <v>447</v>
      </c>
      <c r="L84" s="11"/>
      <c r="M84" s="11"/>
      <c r="N84" s="11"/>
      <c r="O84" s="11"/>
      <c r="P84" s="11" t="s">
        <v>243</v>
      </c>
      <c r="Q84" s="11"/>
      <c r="R84" s="11">
        <f t="shared" si="1"/>
        <v>300</v>
      </c>
      <c r="S84" s="11">
        <v>20</v>
      </c>
      <c r="T84" s="11">
        <v>15</v>
      </c>
    </row>
    <row r="85" spans="1:20" ht="14.25" customHeight="1" x14ac:dyDescent="0.2">
      <c r="A85" s="6"/>
      <c r="B85" s="7"/>
      <c r="C85" s="13"/>
      <c r="D85" s="11" t="s">
        <v>394</v>
      </c>
      <c r="E85" s="11" t="s">
        <v>441</v>
      </c>
      <c r="F85" s="14"/>
      <c r="G85" s="11" t="s">
        <v>381</v>
      </c>
      <c r="H85" s="11" t="s">
        <v>27</v>
      </c>
      <c r="I85" s="11">
        <v>26.932525999999999</v>
      </c>
      <c r="J85" s="11">
        <v>71.904678000000004</v>
      </c>
      <c r="K85" s="11" t="s">
        <v>448</v>
      </c>
      <c r="L85" s="11"/>
      <c r="M85" s="11"/>
      <c r="N85" s="11"/>
      <c r="O85" s="11"/>
      <c r="P85" s="11" t="s">
        <v>243</v>
      </c>
      <c r="Q85" s="11"/>
      <c r="R85" s="11">
        <f t="shared" si="1"/>
        <v>204</v>
      </c>
      <c r="S85" s="11">
        <v>17</v>
      </c>
      <c r="T85" s="11">
        <v>12</v>
      </c>
    </row>
    <row r="86" spans="1:20" ht="14.25" customHeight="1" x14ac:dyDescent="0.2">
      <c r="A86" s="6">
        <v>13</v>
      </c>
      <c r="B86" s="7" t="s">
        <v>22</v>
      </c>
      <c r="C86" s="13" t="s">
        <v>449</v>
      </c>
      <c r="D86" s="11" t="s">
        <v>394</v>
      </c>
      <c r="E86" s="11" t="s">
        <v>407</v>
      </c>
      <c r="F86" s="14" t="s">
        <v>450</v>
      </c>
      <c r="G86" s="11" t="s">
        <v>381</v>
      </c>
      <c r="H86" s="11" t="s">
        <v>27</v>
      </c>
      <c r="I86" s="11">
        <v>26.728581999999999</v>
      </c>
      <c r="J86" s="11">
        <v>72.909127999999995</v>
      </c>
      <c r="K86" s="11" t="s">
        <v>451</v>
      </c>
      <c r="L86" s="11"/>
      <c r="M86" s="11"/>
      <c r="N86" s="11"/>
      <c r="O86" s="11"/>
      <c r="P86" s="11" t="s">
        <v>252</v>
      </c>
      <c r="Q86" s="11"/>
      <c r="R86" s="11">
        <f t="shared" si="1"/>
        <v>340</v>
      </c>
      <c r="S86" s="11">
        <v>20</v>
      </c>
      <c r="T86" s="11">
        <v>17</v>
      </c>
    </row>
    <row r="87" spans="1:20" ht="14.25" customHeight="1" x14ac:dyDescent="0.2">
      <c r="A87" s="6"/>
      <c r="B87" s="7"/>
      <c r="C87" s="13"/>
      <c r="D87" s="11" t="s">
        <v>394</v>
      </c>
      <c r="E87" s="11" t="s">
        <v>407</v>
      </c>
      <c r="F87" s="14"/>
      <c r="G87" s="11" t="s">
        <v>381</v>
      </c>
      <c r="H87" s="11" t="s">
        <v>27</v>
      </c>
      <c r="I87" s="11">
        <v>26.728608000000001</v>
      </c>
      <c r="J87" s="11">
        <v>72.912062000000006</v>
      </c>
      <c r="K87" s="11" t="s">
        <v>452</v>
      </c>
      <c r="L87" s="11"/>
      <c r="M87" s="11"/>
      <c r="N87" s="11"/>
      <c r="O87" s="11"/>
      <c r="P87" s="11" t="s">
        <v>252</v>
      </c>
      <c r="Q87" s="11"/>
      <c r="R87" s="11">
        <f t="shared" si="1"/>
        <v>300</v>
      </c>
      <c r="S87" s="11">
        <v>30</v>
      </c>
      <c r="T87" s="11">
        <v>10</v>
      </c>
    </row>
    <row r="88" spans="1:20" ht="14.25" customHeight="1" x14ac:dyDescent="0.2">
      <c r="A88" s="6"/>
      <c r="B88" s="7"/>
      <c r="C88" s="13"/>
      <c r="D88" s="11" t="s">
        <v>394</v>
      </c>
      <c r="E88" s="11" t="s">
        <v>407</v>
      </c>
      <c r="F88" s="14"/>
      <c r="G88" s="11" t="s">
        <v>381</v>
      </c>
      <c r="H88" s="11" t="s">
        <v>27</v>
      </c>
      <c r="I88" s="11">
        <v>26.728418000000001</v>
      </c>
      <c r="J88" s="11">
        <v>72.911034000000001</v>
      </c>
      <c r="K88" s="11" t="s">
        <v>453</v>
      </c>
      <c r="L88" s="11"/>
      <c r="M88" s="11"/>
      <c r="N88" s="11"/>
      <c r="O88" s="11"/>
      <c r="P88" s="11" t="s">
        <v>252</v>
      </c>
      <c r="Q88" s="11"/>
      <c r="R88" s="11">
        <f t="shared" si="1"/>
        <v>225</v>
      </c>
      <c r="S88" s="11">
        <v>15</v>
      </c>
      <c r="T88" s="11">
        <v>15</v>
      </c>
    </row>
    <row r="89" spans="1:20" ht="14.25" customHeight="1" x14ac:dyDescent="0.2">
      <c r="A89" s="6"/>
      <c r="B89" s="7"/>
      <c r="C89" s="13"/>
      <c r="D89" s="11" t="s">
        <v>394</v>
      </c>
      <c r="E89" s="11" t="s">
        <v>407</v>
      </c>
      <c r="F89" s="14"/>
      <c r="G89" s="11" t="s">
        <v>381</v>
      </c>
      <c r="H89" s="11" t="s">
        <v>27</v>
      </c>
      <c r="I89" s="11">
        <v>26.750275999999999</v>
      </c>
      <c r="J89" s="11">
        <v>72.798578000000006</v>
      </c>
      <c r="K89" s="11" t="s">
        <v>454</v>
      </c>
      <c r="L89" s="11"/>
      <c r="M89" s="11"/>
      <c r="N89" s="11"/>
      <c r="O89" s="11"/>
      <c r="P89" s="11" t="s">
        <v>259</v>
      </c>
      <c r="Q89" s="11"/>
      <c r="R89" s="11">
        <f t="shared" si="1"/>
        <v>495</v>
      </c>
      <c r="S89" s="11">
        <v>30</v>
      </c>
      <c r="T89" s="11">
        <v>16.5</v>
      </c>
    </row>
    <row r="90" spans="1:20" ht="14.25" customHeight="1" x14ac:dyDescent="0.2">
      <c r="A90" s="6"/>
      <c r="B90" s="7"/>
      <c r="C90" s="13"/>
      <c r="D90" s="11"/>
      <c r="E90" s="11"/>
      <c r="F90" s="14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>
        <f t="shared" si="1"/>
        <v>69</v>
      </c>
      <c r="S90" s="11">
        <v>23</v>
      </c>
      <c r="T90" s="11">
        <v>3</v>
      </c>
    </row>
    <row r="91" spans="1:20" ht="14.25" customHeight="1" x14ac:dyDescent="0.2">
      <c r="A91" s="6"/>
      <c r="B91" s="7"/>
      <c r="C91" s="13"/>
      <c r="D91" s="11" t="s">
        <v>394</v>
      </c>
      <c r="E91" s="11" t="s">
        <v>407</v>
      </c>
      <c r="F91" s="14"/>
      <c r="G91" s="11" t="s">
        <v>381</v>
      </c>
      <c r="H91" s="11" t="s">
        <v>27</v>
      </c>
      <c r="I91" s="11">
        <v>26.750238</v>
      </c>
      <c r="J91" s="11">
        <v>72.898565000000005</v>
      </c>
      <c r="K91" s="11" t="s">
        <v>455</v>
      </c>
      <c r="L91" s="11"/>
      <c r="M91" s="11"/>
      <c r="N91" s="11"/>
      <c r="O91" s="11"/>
      <c r="P91" s="11" t="s">
        <v>259</v>
      </c>
      <c r="Q91" s="11"/>
      <c r="R91" s="11">
        <f t="shared" si="1"/>
        <v>511.5</v>
      </c>
      <c r="S91" s="11">
        <v>31</v>
      </c>
      <c r="T91" s="11">
        <v>16.5</v>
      </c>
    </row>
    <row r="92" spans="1:20" ht="14.25" customHeight="1" x14ac:dyDescent="0.2">
      <c r="A92" s="6"/>
      <c r="B92" s="7"/>
      <c r="C92" s="13"/>
      <c r="D92" s="11" t="s">
        <v>394</v>
      </c>
      <c r="E92" s="11" t="s">
        <v>407</v>
      </c>
      <c r="F92" s="14"/>
      <c r="G92" s="11" t="s">
        <v>381</v>
      </c>
      <c r="H92" s="11" t="s">
        <v>27</v>
      </c>
      <c r="I92" s="11">
        <v>26.750167000000001</v>
      </c>
      <c r="J92" s="11">
        <v>72.898702999999998</v>
      </c>
      <c r="K92" s="11" t="s">
        <v>456</v>
      </c>
      <c r="L92" s="11"/>
      <c r="M92" s="11"/>
      <c r="N92" s="11"/>
      <c r="O92" s="11"/>
      <c r="P92" s="11" t="s">
        <v>259</v>
      </c>
      <c r="Q92" s="11"/>
      <c r="R92" s="11">
        <f t="shared" si="1"/>
        <v>1764</v>
      </c>
      <c r="S92" s="11">
        <v>126</v>
      </c>
      <c r="T92" s="11">
        <v>14</v>
      </c>
    </row>
    <row r="93" spans="1:20" ht="14.25" customHeight="1" x14ac:dyDescent="0.2">
      <c r="A93" s="6"/>
      <c r="B93" s="7"/>
      <c r="C93" s="13"/>
      <c r="D93" s="11" t="s">
        <v>394</v>
      </c>
      <c r="E93" s="11" t="s">
        <v>407</v>
      </c>
      <c r="F93" s="14"/>
      <c r="G93" s="11" t="s">
        <v>381</v>
      </c>
      <c r="H93" s="11" t="s">
        <v>27</v>
      </c>
      <c r="I93" s="11">
        <v>26.750247000000002</v>
      </c>
      <c r="J93" s="11">
        <v>72.898964000000007</v>
      </c>
      <c r="K93" s="11" t="s">
        <v>457</v>
      </c>
      <c r="L93" s="11"/>
      <c r="M93" s="11"/>
      <c r="N93" s="11"/>
      <c r="O93" s="11"/>
      <c r="P93" s="11" t="s">
        <v>259</v>
      </c>
      <c r="Q93" s="11"/>
      <c r="R93" s="11">
        <f t="shared" si="1"/>
        <v>616</v>
      </c>
      <c r="S93" s="11">
        <v>44</v>
      </c>
      <c r="T93" s="11">
        <v>14</v>
      </c>
    </row>
    <row r="94" spans="1:20" ht="14.25" customHeight="1" x14ac:dyDescent="0.2">
      <c r="A94" s="6"/>
      <c r="B94" s="7"/>
      <c r="C94" s="13"/>
      <c r="D94" s="11" t="s">
        <v>394</v>
      </c>
      <c r="E94" s="11" t="s">
        <v>407</v>
      </c>
      <c r="F94" s="14"/>
      <c r="G94" s="11" t="s">
        <v>381</v>
      </c>
      <c r="H94" s="11" t="s">
        <v>27</v>
      </c>
      <c r="I94" s="11">
        <v>26.750204</v>
      </c>
      <c r="J94" s="11">
        <v>72.898988000000003</v>
      </c>
      <c r="K94" s="11" t="s">
        <v>458</v>
      </c>
      <c r="L94" s="11"/>
      <c r="M94" s="11"/>
      <c r="N94" s="11"/>
      <c r="O94" s="11"/>
      <c r="P94" s="11" t="s">
        <v>259</v>
      </c>
      <c r="Q94" s="11"/>
      <c r="R94" s="11">
        <f t="shared" si="1"/>
        <v>1750</v>
      </c>
      <c r="S94" s="11">
        <v>125</v>
      </c>
      <c r="T94" s="11">
        <v>14</v>
      </c>
    </row>
    <row r="95" spans="1:20" ht="14.25" customHeight="1" x14ac:dyDescent="0.2">
      <c r="A95" s="6">
        <v>14</v>
      </c>
      <c r="B95" s="7" t="s">
        <v>22</v>
      </c>
      <c r="C95" s="13" t="s">
        <v>459</v>
      </c>
      <c r="D95" s="11" t="s">
        <v>394</v>
      </c>
      <c r="E95" s="11" t="s">
        <v>407</v>
      </c>
      <c r="F95" s="14" t="s">
        <v>460</v>
      </c>
      <c r="G95" s="11" t="s">
        <v>381</v>
      </c>
      <c r="H95" s="11" t="s">
        <v>27</v>
      </c>
      <c r="I95" s="11">
        <v>26.190951999999999</v>
      </c>
      <c r="J95" s="11">
        <v>73.700196000000005</v>
      </c>
      <c r="K95" s="11" t="s">
        <v>461</v>
      </c>
      <c r="L95" s="11"/>
      <c r="M95" s="11"/>
      <c r="N95" s="11"/>
      <c r="O95" s="11"/>
      <c r="P95" s="11" t="s">
        <v>263</v>
      </c>
      <c r="Q95" s="11"/>
      <c r="R95" s="11">
        <f t="shared" si="1"/>
        <v>1848</v>
      </c>
      <c r="S95" s="11">
        <v>88</v>
      </c>
      <c r="T95" s="11">
        <v>21</v>
      </c>
    </row>
    <row r="96" spans="1:20" ht="14.25" customHeight="1" x14ac:dyDescent="0.2">
      <c r="A96" s="6"/>
      <c r="B96" s="7"/>
      <c r="C96" s="13"/>
      <c r="D96" s="11"/>
      <c r="E96" s="11"/>
      <c r="F96" s="14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>
        <f t="shared" si="1"/>
        <v>500</v>
      </c>
      <c r="S96" s="11">
        <v>50</v>
      </c>
      <c r="T96" s="11">
        <v>10</v>
      </c>
    </row>
    <row r="97" spans="1:20" ht="14.25" customHeight="1" x14ac:dyDescent="0.2">
      <c r="A97" s="6"/>
      <c r="B97" s="7"/>
      <c r="C97" s="13"/>
      <c r="D97" s="11"/>
      <c r="E97" s="11"/>
      <c r="F97" s="14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>
        <f t="shared" si="1"/>
        <v>105</v>
      </c>
      <c r="S97" s="11">
        <v>30</v>
      </c>
      <c r="T97" s="11">
        <v>3.5</v>
      </c>
    </row>
    <row r="98" spans="1:20" ht="14.25" customHeight="1" x14ac:dyDescent="0.2">
      <c r="A98" s="6"/>
      <c r="B98" s="7"/>
      <c r="C98" s="13"/>
      <c r="D98" s="11" t="s">
        <v>394</v>
      </c>
      <c r="E98" s="11" t="s">
        <v>407</v>
      </c>
      <c r="F98" s="14"/>
      <c r="G98" s="11" t="s">
        <v>381</v>
      </c>
      <c r="H98" s="11" t="s">
        <v>27</v>
      </c>
      <c r="I98" s="11">
        <v>26.173387999999999</v>
      </c>
      <c r="J98" s="11">
        <v>73.711008000000007</v>
      </c>
      <c r="K98" s="11" t="s">
        <v>462</v>
      </c>
      <c r="L98" s="11"/>
      <c r="M98" s="11"/>
      <c r="N98" s="11"/>
      <c r="O98" s="11"/>
      <c r="P98" s="11" t="s">
        <v>263</v>
      </c>
      <c r="Q98" s="11"/>
      <c r="R98" s="11">
        <f t="shared" si="1"/>
        <v>2200</v>
      </c>
      <c r="S98" s="11">
        <v>110</v>
      </c>
      <c r="T98" s="11">
        <v>20</v>
      </c>
    </row>
    <row r="99" spans="1:20" ht="14.25" customHeight="1" x14ac:dyDescent="0.2">
      <c r="A99" s="6"/>
      <c r="B99" s="7"/>
      <c r="C99" s="13"/>
      <c r="D99" s="11" t="s">
        <v>394</v>
      </c>
      <c r="E99" s="11" t="s">
        <v>407</v>
      </c>
      <c r="F99" s="14"/>
      <c r="G99" s="11" t="s">
        <v>381</v>
      </c>
      <c r="H99" s="11" t="s">
        <v>27</v>
      </c>
      <c r="I99" s="11">
        <v>26.174548999999999</v>
      </c>
      <c r="J99" s="11">
        <v>73.706130999999999</v>
      </c>
      <c r="K99" s="11" t="s">
        <v>463</v>
      </c>
      <c r="L99" s="11"/>
      <c r="M99" s="11"/>
      <c r="N99" s="11"/>
      <c r="O99" s="11"/>
      <c r="P99" s="11" t="s">
        <v>464</v>
      </c>
      <c r="Q99" s="11"/>
      <c r="R99" s="11">
        <f t="shared" si="1"/>
        <v>1210</v>
      </c>
      <c r="S99" s="11">
        <v>55</v>
      </c>
      <c r="T99" s="11">
        <v>22</v>
      </c>
    </row>
    <row r="100" spans="1:20" ht="14.25" customHeight="1" x14ac:dyDescent="0.2">
      <c r="A100" s="6"/>
      <c r="B100" s="7"/>
      <c r="C100" s="13"/>
      <c r="D100" s="11" t="s">
        <v>394</v>
      </c>
      <c r="E100" s="11" t="s">
        <v>407</v>
      </c>
      <c r="F100" s="14"/>
      <c r="G100" s="11" t="s">
        <v>381</v>
      </c>
      <c r="H100" s="11" t="s">
        <v>27</v>
      </c>
      <c r="I100" s="11">
        <v>26.174319000000001</v>
      </c>
      <c r="J100" s="11">
        <v>73.706176999999997</v>
      </c>
      <c r="K100" s="11" t="s">
        <v>465</v>
      </c>
      <c r="L100" s="11"/>
      <c r="M100" s="11"/>
      <c r="N100" s="11"/>
      <c r="O100" s="11"/>
      <c r="P100" s="11" t="s">
        <v>464</v>
      </c>
      <c r="Q100" s="11"/>
      <c r="R100" s="11">
        <f t="shared" si="1"/>
        <v>1210</v>
      </c>
      <c r="S100" s="11">
        <v>55</v>
      </c>
      <c r="T100" s="11">
        <v>22</v>
      </c>
    </row>
    <row r="101" spans="1:20" ht="14.25" customHeight="1" x14ac:dyDescent="0.2">
      <c r="A101" s="6"/>
      <c r="B101" s="7"/>
      <c r="C101" s="13"/>
      <c r="D101" s="11" t="s">
        <v>394</v>
      </c>
      <c r="E101" s="11" t="s">
        <v>407</v>
      </c>
      <c r="F101" s="14"/>
      <c r="G101" s="11" t="s">
        <v>381</v>
      </c>
      <c r="H101" s="11" t="s">
        <v>27</v>
      </c>
      <c r="I101" s="11">
        <v>26.174309000000001</v>
      </c>
      <c r="J101" s="11">
        <v>73.705074999999994</v>
      </c>
      <c r="K101" s="11" t="s">
        <v>466</v>
      </c>
      <c r="L101" s="11"/>
      <c r="M101" s="11"/>
      <c r="N101" s="11"/>
      <c r="O101" s="11"/>
      <c r="P101" s="11" t="s">
        <v>464</v>
      </c>
      <c r="Q101" s="11"/>
      <c r="R101" s="11">
        <f t="shared" si="1"/>
        <v>1075</v>
      </c>
      <c r="S101" s="11">
        <v>50</v>
      </c>
      <c r="T101" s="11">
        <v>21.5</v>
      </c>
    </row>
    <row r="102" spans="1:20" ht="14.25" customHeight="1" x14ac:dyDescent="0.2">
      <c r="A102" s="6">
        <v>15</v>
      </c>
      <c r="B102" s="7" t="s">
        <v>22</v>
      </c>
      <c r="C102" s="13" t="s">
        <v>467</v>
      </c>
      <c r="D102" s="9" t="s">
        <v>148</v>
      </c>
      <c r="E102" s="9" t="s">
        <v>468</v>
      </c>
      <c r="F102" s="10" t="s">
        <v>469</v>
      </c>
      <c r="G102" s="11" t="s">
        <v>381</v>
      </c>
      <c r="H102" s="11" t="s">
        <v>27</v>
      </c>
      <c r="I102" s="9">
        <v>29.914943999999998</v>
      </c>
      <c r="J102" s="11">
        <v>73.869653</v>
      </c>
      <c r="K102" s="11" t="s">
        <v>470</v>
      </c>
      <c r="L102" s="11"/>
      <c r="M102" s="11"/>
      <c r="N102" s="11"/>
      <c r="O102" s="11"/>
      <c r="P102" s="12" t="s">
        <v>166</v>
      </c>
      <c r="Q102" s="11"/>
      <c r="R102" s="11">
        <f t="shared" si="1"/>
        <v>237.5</v>
      </c>
      <c r="S102" s="11">
        <v>25</v>
      </c>
      <c r="T102" s="11">
        <v>9.5</v>
      </c>
    </row>
    <row r="103" spans="1:20" ht="14.25" customHeight="1" x14ac:dyDescent="0.2">
      <c r="A103" s="6"/>
      <c r="B103" s="7"/>
      <c r="C103" s="13"/>
      <c r="D103" s="9"/>
      <c r="E103" s="9"/>
      <c r="F103" s="10"/>
      <c r="G103" s="9"/>
      <c r="H103" s="9"/>
      <c r="I103" s="9"/>
      <c r="J103" s="11"/>
      <c r="K103" s="11"/>
      <c r="L103" s="11"/>
      <c r="M103" s="11"/>
      <c r="N103" s="11"/>
      <c r="O103" s="11"/>
      <c r="P103" s="12"/>
      <c r="Q103" s="11"/>
      <c r="R103" s="11">
        <f t="shared" si="1"/>
        <v>18</v>
      </c>
      <c r="S103" s="11">
        <v>3</v>
      </c>
      <c r="T103" s="11">
        <v>6</v>
      </c>
    </row>
    <row r="104" spans="1:20" ht="14.25" customHeight="1" x14ac:dyDescent="0.2">
      <c r="A104" s="6"/>
      <c r="B104" s="7"/>
      <c r="C104" s="13"/>
      <c r="D104" s="9" t="s">
        <v>148</v>
      </c>
      <c r="E104" s="9" t="s">
        <v>468</v>
      </c>
      <c r="F104" s="10"/>
      <c r="G104" s="9" t="s">
        <v>381</v>
      </c>
      <c r="H104" s="9" t="s">
        <v>27</v>
      </c>
      <c r="I104" s="9">
        <v>29.915035</v>
      </c>
      <c r="J104" s="11">
        <v>73.869742000000002</v>
      </c>
      <c r="K104" s="11" t="s">
        <v>471</v>
      </c>
      <c r="L104" s="11"/>
      <c r="M104" s="11"/>
      <c r="N104" s="11"/>
      <c r="O104" s="11"/>
      <c r="P104" s="12" t="s">
        <v>166</v>
      </c>
      <c r="Q104" s="11"/>
      <c r="R104" s="11">
        <f t="shared" si="1"/>
        <v>237.5</v>
      </c>
      <c r="S104" s="11">
        <v>25</v>
      </c>
      <c r="T104" s="11">
        <v>9.5</v>
      </c>
    </row>
    <row r="105" spans="1:20" ht="14.25" customHeight="1" x14ac:dyDescent="0.2">
      <c r="A105" s="6"/>
      <c r="B105" s="7"/>
      <c r="C105" s="13"/>
      <c r="D105" s="9"/>
      <c r="E105" s="9"/>
      <c r="F105" s="10"/>
      <c r="G105" s="9"/>
      <c r="H105" s="9"/>
      <c r="I105" s="9"/>
      <c r="J105" s="11"/>
      <c r="K105" s="11"/>
      <c r="L105" s="11"/>
      <c r="M105" s="11"/>
      <c r="N105" s="11"/>
      <c r="O105" s="11"/>
      <c r="P105" s="12"/>
      <c r="Q105" s="11"/>
      <c r="R105" s="11">
        <f t="shared" si="1"/>
        <v>18</v>
      </c>
      <c r="S105" s="11">
        <v>3</v>
      </c>
      <c r="T105" s="11">
        <v>6</v>
      </c>
    </row>
    <row r="106" spans="1:20" ht="14.25" customHeight="1" x14ac:dyDescent="0.2">
      <c r="A106" s="6"/>
      <c r="B106" s="7"/>
      <c r="C106" s="13"/>
      <c r="D106" s="9" t="s">
        <v>148</v>
      </c>
      <c r="E106" s="9" t="s">
        <v>468</v>
      </c>
      <c r="F106" s="10"/>
      <c r="G106" s="9" t="s">
        <v>381</v>
      </c>
      <c r="H106" s="9" t="s">
        <v>27</v>
      </c>
      <c r="I106" s="9">
        <v>29.915023999999999</v>
      </c>
      <c r="J106" s="11">
        <v>73.869757000000007</v>
      </c>
      <c r="K106" s="11" t="s">
        <v>472</v>
      </c>
      <c r="L106" s="11"/>
      <c r="M106" s="11"/>
      <c r="N106" s="11"/>
      <c r="O106" s="11"/>
      <c r="P106" s="12" t="s">
        <v>166</v>
      </c>
      <c r="Q106" s="11"/>
      <c r="R106" s="11">
        <f t="shared" si="1"/>
        <v>237.5</v>
      </c>
      <c r="S106" s="11">
        <v>25</v>
      </c>
      <c r="T106" s="11">
        <v>9.5</v>
      </c>
    </row>
    <row r="107" spans="1:20" ht="14.25" customHeight="1" x14ac:dyDescent="0.2">
      <c r="A107" s="6"/>
      <c r="B107" s="7"/>
      <c r="C107" s="13"/>
      <c r="D107" s="9"/>
      <c r="E107" s="9"/>
      <c r="F107" s="10"/>
      <c r="G107" s="9"/>
      <c r="H107" s="9"/>
      <c r="I107" s="9"/>
      <c r="J107" s="11"/>
      <c r="K107" s="11"/>
      <c r="L107" s="11"/>
      <c r="M107" s="11"/>
      <c r="N107" s="11"/>
      <c r="O107" s="11"/>
      <c r="P107" s="12"/>
      <c r="Q107" s="11"/>
      <c r="R107" s="11">
        <f t="shared" si="1"/>
        <v>18</v>
      </c>
      <c r="S107" s="11">
        <v>3</v>
      </c>
      <c r="T107" s="11">
        <v>6</v>
      </c>
    </row>
    <row r="108" spans="1:20" ht="14.25" customHeight="1" x14ac:dyDescent="0.2">
      <c r="A108" s="6"/>
      <c r="B108" s="7"/>
      <c r="C108" s="13"/>
      <c r="D108" s="9" t="s">
        <v>148</v>
      </c>
      <c r="E108" s="9" t="s">
        <v>468</v>
      </c>
      <c r="F108" s="10"/>
      <c r="G108" s="9" t="s">
        <v>381</v>
      </c>
      <c r="H108" s="9" t="s">
        <v>27</v>
      </c>
      <c r="I108" s="9">
        <v>29.914936000000001</v>
      </c>
      <c r="J108" s="11">
        <v>73.869578000000004</v>
      </c>
      <c r="K108" s="11" t="s">
        <v>473</v>
      </c>
      <c r="L108" s="11"/>
      <c r="M108" s="11"/>
      <c r="N108" s="11"/>
      <c r="O108" s="11"/>
      <c r="P108" s="12" t="s">
        <v>166</v>
      </c>
      <c r="Q108" s="11"/>
      <c r="R108" s="11">
        <f t="shared" si="1"/>
        <v>237.5</v>
      </c>
      <c r="S108" s="11">
        <v>25</v>
      </c>
      <c r="T108" s="11">
        <v>9.5</v>
      </c>
    </row>
    <row r="109" spans="1:20" ht="14.25" customHeight="1" x14ac:dyDescent="0.2">
      <c r="A109" s="6"/>
      <c r="B109" s="7"/>
      <c r="C109" s="13"/>
      <c r="D109" s="9"/>
      <c r="E109" s="9"/>
      <c r="F109" s="10"/>
      <c r="G109" s="9"/>
      <c r="H109" s="9"/>
      <c r="I109" s="9"/>
      <c r="J109" s="11"/>
      <c r="K109" s="11"/>
      <c r="L109" s="11"/>
      <c r="M109" s="11"/>
      <c r="N109" s="11"/>
      <c r="O109" s="11"/>
      <c r="P109" s="12"/>
      <c r="Q109" s="11"/>
      <c r="R109" s="11">
        <f t="shared" si="1"/>
        <v>18</v>
      </c>
      <c r="S109" s="11">
        <v>3</v>
      </c>
      <c r="T109" s="11">
        <v>6</v>
      </c>
    </row>
    <row r="110" spans="1:20" ht="14.25" customHeight="1" x14ac:dyDescent="0.2">
      <c r="A110" s="6"/>
      <c r="B110" s="7"/>
      <c r="C110" s="13"/>
      <c r="D110" s="9" t="s">
        <v>148</v>
      </c>
      <c r="E110" s="9" t="s">
        <v>468</v>
      </c>
      <c r="F110" s="10"/>
      <c r="G110" s="9" t="s">
        <v>381</v>
      </c>
      <c r="H110" s="9" t="s">
        <v>27</v>
      </c>
      <c r="I110" s="9">
        <v>29.914925</v>
      </c>
      <c r="J110" s="11">
        <v>73.869552999999996</v>
      </c>
      <c r="K110" s="11" t="s">
        <v>474</v>
      </c>
      <c r="L110" s="11"/>
      <c r="M110" s="11"/>
      <c r="N110" s="11"/>
      <c r="O110" s="11"/>
      <c r="P110" s="12" t="s">
        <v>166</v>
      </c>
      <c r="Q110" s="11"/>
      <c r="R110" s="11">
        <f t="shared" si="1"/>
        <v>237.5</v>
      </c>
      <c r="S110" s="11">
        <v>25</v>
      </c>
      <c r="T110" s="11">
        <v>9.5</v>
      </c>
    </row>
    <row r="111" spans="1:20" ht="14.25" customHeight="1" x14ac:dyDescent="0.2">
      <c r="A111" s="6"/>
      <c r="B111" s="7"/>
      <c r="C111" s="13"/>
      <c r="D111" s="9"/>
      <c r="E111" s="9"/>
      <c r="F111" s="10"/>
      <c r="G111" s="9"/>
      <c r="H111" s="9"/>
      <c r="I111" s="9"/>
      <c r="J111" s="11"/>
      <c r="K111" s="11"/>
      <c r="L111" s="11"/>
      <c r="M111" s="11"/>
      <c r="N111" s="11"/>
      <c r="O111" s="11"/>
      <c r="P111" s="12"/>
      <c r="Q111" s="11"/>
      <c r="R111" s="11">
        <f t="shared" si="1"/>
        <v>18</v>
      </c>
      <c r="S111" s="11">
        <v>3</v>
      </c>
      <c r="T111" s="11">
        <v>6</v>
      </c>
    </row>
    <row r="112" spans="1:20" ht="14.25" customHeight="1" x14ac:dyDescent="0.2">
      <c r="A112" s="6"/>
      <c r="B112" s="7"/>
      <c r="C112" s="13"/>
      <c r="D112" s="9" t="s">
        <v>148</v>
      </c>
      <c r="E112" s="9" t="s">
        <v>468</v>
      </c>
      <c r="F112" s="10"/>
      <c r="G112" s="9" t="s">
        <v>381</v>
      </c>
      <c r="H112" s="9" t="s">
        <v>27</v>
      </c>
      <c r="I112" s="9">
        <v>29.915002999999999</v>
      </c>
      <c r="J112" s="11">
        <v>73.869309000000001</v>
      </c>
      <c r="K112" s="11" t="s">
        <v>475</v>
      </c>
      <c r="L112" s="11"/>
      <c r="M112" s="11"/>
      <c r="N112" s="11"/>
      <c r="O112" s="11"/>
      <c r="P112" s="12" t="s">
        <v>166</v>
      </c>
      <c r="Q112" s="11"/>
      <c r="R112" s="11">
        <f t="shared" si="1"/>
        <v>237.5</v>
      </c>
      <c r="S112" s="11">
        <v>25</v>
      </c>
      <c r="T112" s="11">
        <v>9.5</v>
      </c>
    </row>
    <row r="113" spans="1:20" ht="14.25" customHeight="1" x14ac:dyDescent="0.2">
      <c r="A113" s="6"/>
      <c r="B113" s="7"/>
      <c r="C113" s="13"/>
      <c r="D113" s="9"/>
      <c r="E113" s="9"/>
      <c r="F113" s="10"/>
      <c r="G113" s="9"/>
      <c r="H113" s="9"/>
      <c r="I113" s="9"/>
      <c r="J113" s="11"/>
      <c r="K113" s="11"/>
      <c r="L113" s="11"/>
      <c r="M113" s="11"/>
      <c r="N113" s="11"/>
      <c r="O113" s="11"/>
      <c r="P113" s="12"/>
      <c r="Q113" s="11"/>
      <c r="R113" s="11">
        <f t="shared" si="1"/>
        <v>18</v>
      </c>
      <c r="S113" s="11">
        <v>3</v>
      </c>
      <c r="T113" s="11">
        <v>6</v>
      </c>
    </row>
    <row r="114" spans="1:20" ht="14.25" customHeight="1" x14ac:dyDescent="0.2">
      <c r="A114" s="6"/>
      <c r="B114" s="7"/>
      <c r="C114" s="13"/>
      <c r="D114" s="9" t="s">
        <v>148</v>
      </c>
      <c r="E114" s="9" t="s">
        <v>468</v>
      </c>
      <c r="F114" s="10"/>
      <c r="G114" s="9" t="s">
        <v>381</v>
      </c>
      <c r="H114" s="9" t="s">
        <v>27</v>
      </c>
      <c r="I114" s="9">
        <v>29.915029000000001</v>
      </c>
      <c r="J114" s="11">
        <v>73.86927</v>
      </c>
      <c r="K114" s="11" t="s">
        <v>476</v>
      </c>
      <c r="L114" s="11"/>
      <c r="M114" s="11"/>
      <c r="N114" s="11"/>
      <c r="O114" s="11"/>
      <c r="P114" s="12" t="s">
        <v>166</v>
      </c>
      <c r="Q114" s="11"/>
      <c r="R114" s="11">
        <f t="shared" si="1"/>
        <v>237.5</v>
      </c>
      <c r="S114" s="11">
        <v>25</v>
      </c>
      <c r="T114" s="11">
        <v>9.5</v>
      </c>
    </row>
    <row r="115" spans="1:20" ht="14.25" customHeight="1" x14ac:dyDescent="0.2">
      <c r="A115" s="6"/>
      <c r="B115" s="7"/>
      <c r="C115" s="13"/>
      <c r="D115" s="9"/>
      <c r="E115" s="9"/>
      <c r="F115" s="10"/>
      <c r="G115" s="9"/>
      <c r="H115" s="9"/>
      <c r="I115" s="9"/>
      <c r="J115" s="11"/>
      <c r="K115" s="11"/>
      <c r="L115" s="11"/>
      <c r="M115" s="11"/>
      <c r="N115" s="11"/>
      <c r="O115" s="11"/>
      <c r="P115" s="12"/>
      <c r="Q115" s="11"/>
      <c r="R115" s="11">
        <f t="shared" si="1"/>
        <v>18</v>
      </c>
      <c r="S115" s="11">
        <v>3</v>
      </c>
      <c r="T115" s="11">
        <v>6</v>
      </c>
    </row>
    <row r="116" spans="1:20" ht="14.25" customHeight="1" x14ac:dyDescent="0.2">
      <c r="A116" s="6"/>
      <c r="B116" s="7"/>
      <c r="C116" s="13"/>
      <c r="D116" s="9" t="s">
        <v>148</v>
      </c>
      <c r="E116" s="9" t="s">
        <v>468</v>
      </c>
      <c r="F116" s="10"/>
      <c r="G116" s="9" t="s">
        <v>381</v>
      </c>
      <c r="H116" s="9" t="s">
        <v>27</v>
      </c>
      <c r="I116" s="9">
        <v>29.914939</v>
      </c>
      <c r="J116" s="11">
        <v>73.868971999999999</v>
      </c>
      <c r="K116" s="11" t="s">
        <v>477</v>
      </c>
      <c r="L116" s="11"/>
      <c r="M116" s="11"/>
      <c r="N116" s="11"/>
      <c r="O116" s="11"/>
      <c r="P116" s="12" t="s">
        <v>166</v>
      </c>
      <c r="Q116" s="11"/>
      <c r="R116" s="11">
        <f t="shared" si="1"/>
        <v>237.5</v>
      </c>
      <c r="S116" s="11">
        <v>25</v>
      </c>
      <c r="T116" s="11">
        <v>9.5</v>
      </c>
    </row>
    <row r="117" spans="1:20" ht="14.25" customHeight="1" x14ac:dyDescent="0.2">
      <c r="A117" s="6"/>
      <c r="B117" s="7"/>
      <c r="C117" s="13"/>
      <c r="D117" s="9"/>
      <c r="E117" s="9"/>
      <c r="F117" s="10"/>
      <c r="G117" s="9"/>
      <c r="H117" s="9"/>
      <c r="I117" s="9"/>
      <c r="J117" s="11"/>
      <c r="K117" s="11"/>
      <c r="L117" s="11"/>
      <c r="M117" s="11"/>
      <c r="N117" s="11"/>
      <c r="O117" s="11"/>
      <c r="P117" s="12"/>
      <c r="Q117" s="11"/>
      <c r="R117" s="11">
        <f t="shared" si="1"/>
        <v>18</v>
      </c>
      <c r="S117" s="11">
        <v>3</v>
      </c>
      <c r="T117" s="11">
        <v>6</v>
      </c>
    </row>
    <row r="118" spans="1:20" ht="14.25" customHeight="1" x14ac:dyDescent="0.2">
      <c r="A118" s="6"/>
      <c r="B118" s="7"/>
      <c r="C118" s="13"/>
      <c r="D118" s="9"/>
      <c r="E118" s="9"/>
      <c r="F118" s="10"/>
      <c r="G118" s="9"/>
      <c r="H118" s="9"/>
      <c r="I118" s="9"/>
      <c r="J118" s="11"/>
      <c r="K118" s="11"/>
      <c r="L118" s="11"/>
      <c r="M118" s="11"/>
      <c r="N118" s="11"/>
      <c r="O118" s="11"/>
      <c r="P118" s="12"/>
      <c r="Q118" s="11"/>
      <c r="R118" s="11">
        <f t="shared" si="1"/>
        <v>56</v>
      </c>
      <c r="S118" s="11">
        <v>16</v>
      </c>
      <c r="T118" s="11">
        <v>3.5</v>
      </c>
    </row>
    <row r="119" spans="1:20" ht="14.25" customHeight="1" x14ac:dyDescent="0.2">
      <c r="A119" s="6"/>
      <c r="B119" s="7"/>
      <c r="C119" s="13"/>
      <c r="D119" s="9" t="s">
        <v>148</v>
      </c>
      <c r="E119" s="9" t="s">
        <v>468</v>
      </c>
      <c r="F119" s="10"/>
      <c r="G119" s="9" t="s">
        <v>381</v>
      </c>
      <c r="H119" s="9" t="s">
        <v>27</v>
      </c>
      <c r="I119" s="9">
        <v>29.915033999999999</v>
      </c>
      <c r="J119" s="11">
        <v>73.868865999999997</v>
      </c>
      <c r="K119" s="11" t="s">
        <v>478</v>
      </c>
      <c r="L119" s="11"/>
      <c r="M119" s="11"/>
      <c r="N119" s="11"/>
      <c r="O119" s="11"/>
      <c r="P119" s="12" t="s">
        <v>166</v>
      </c>
      <c r="Q119" s="11"/>
      <c r="R119" s="11">
        <f t="shared" si="1"/>
        <v>237.5</v>
      </c>
      <c r="S119" s="11">
        <v>25</v>
      </c>
      <c r="T119" s="11">
        <v>9.5</v>
      </c>
    </row>
    <row r="120" spans="1:20" ht="14.25" customHeight="1" x14ac:dyDescent="0.2">
      <c r="A120" s="6"/>
      <c r="B120" s="7"/>
      <c r="C120" s="13"/>
      <c r="D120" s="9"/>
      <c r="E120" s="9"/>
      <c r="F120" s="10"/>
      <c r="G120" s="9"/>
      <c r="H120" s="9"/>
      <c r="I120" s="9"/>
      <c r="J120" s="11"/>
      <c r="K120" s="11"/>
      <c r="L120" s="11"/>
      <c r="M120" s="11"/>
      <c r="N120" s="11"/>
      <c r="O120" s="11"/>
      <c r="P120" s="12"/>
      <c r="Q120" s="11"/>
      <c r="R120" s="11">
        <f t="shared" si="1"/>
        <v>18</v>
      </c>
      <c r="S120" s="11">
        <v>3</v>
      </c>
      <c r="T120" s="11">
        <v>6</v>
      </c>
    </row>
    <row r="121" spans="1:20" ht="14.25" customHeight="1" x14ac:dyDescent="0.2">
      <c r="A121" s="6"/>
      <c r="B121" s="7"/>
      <c r="C121" s="13"/>
      <c r="D121" s="9" t="s">
        <v>148</v>
      </c>
      <c r="E121" s="9" t="s">
        <v>468</v>
      </c>
      <c r="F121" s="10"/>
      <c r="G121" s="9" t="s">
        <v>381</v>
      </c>
      <c r="H121" s="9" t="s">
        <v>27</v>
      </c>
      <c r="I121" s="9">
        <v>29.914973</v>
      </c>
      <c r="J121" s="11">
        <v>73.868654000000006</v>
      </c>
      <c r="K121" s="11" t="s">
        <v>479</v>
      </c>
      <c r="L121" s="11"/>
      <c r="M121" s="11"/>
      <c r="N121" s="11"/>
      <c r="O121" s="11"/>
      <c r="P121" s="12" t="s">
        <v>166</v>
      </c>
      <c r="Q121" s="11"/>
      <c r="R121" s="11">
        <f t="shared" si="1"/>
        <v>237.5</v>
      </c>
      <c r="S121" s="11">
        <v>25</v>
      </c>
      <c r="T121" s="11">
        <v>9.5</v>
      </c>
    </row>
    <row r="122" spans="1:20" ht="14.25" customHeight="1" x14ac:dyDescent="0.2">
      <c r="A122" s="6"/>
      <c r="B122" s="7"/>
      <c r="C122" s="13"/>
      <c r="D122" s="9"/>
      <c r="E122" s="9"/>
      <c r="F122" s="10"/>
      <c r="G122" s="9"/>
      <c r="H122" s="9"/>
      <c r="I122" s="9"/>
      <c r="J122" s="11"/>
      <c r="K122" s="11"/>
      <c r="L122" s="11"/>
      <c r="M122" s="11"/>
      <c r="N122" s="11"/>
      <c r="O122" s="11"/>
      <c r="P122" s="12"/>
      <c r="Q122" s="11"/>
      <c r="R122" s="11">
        <f t="shared" si="1"/>
        <v>18</v>
      </c>
      <c r="S122" s="11">
        <v>3</v>
      </c>
      <c r="T122" s="11">
        <v>6</v>
      </c>
    </row>
    <row r="123" spans="1:20" ht="14.25" customHeight="1" x14ac:dyDescent="0.2">
      <c r="A123" s="6"/>
      <c r="B123" s="7"/>
      <c r="C123" s="13"/>
      <c r="D123" s="9" t="s">
        <v>148</v>
      </c>
      <c r="E123" s="9" t="s">
        <v>468</v>
      </c>
      <c r="F123" s="10"/>
      <c r="G123" s="9" t="s">
        <v>381</v>
      </c>
      <c r="H123" s="9" t="s">
        <v>27</v>
      </c>
      <c r="I123" s="9">
        <v>29.915068999999999</v>
      </c>
      <c r="J123" s="11">
        <v>73.868753999999996</v>
      </c>
      <c r="K123" s="11" t="s">
        <v>480</v>
      </c>
      <c r="L123" s="11"/>
      <c r="M123" s="11"/>
      <c r="N123" s="11"/>
      <c r="O123" s="11"/>
      <c r="P123" s="12" t="s">
        <v>166</v>
      </c>
      <c r="Q123" s="11"/>
      <c r="R123" s="11">
        <f t="shared" si="1"/>
        <v>237.5</v>
      </c>
      <c r="S123" s="11">
        <v>25</v>
      </c>
      <c r="T123" s="11">
        <v>9.5</v>
      </c>
    </row>
    <row r="124" spans="1:20" ht="14.25" customHeight="1" x14ac:dyDescent="0.2">
      <c r="A124" s="6"/>
      <c r="B124" s="7"/>
      <c r="C124" s="13"/>
      <c r="D124" s="9"/>
      <c r="E124" s="9"/>
      <c r="F124" s="10"/>
      <c r="G124" s="9"/>
      <c r="H124" s="9"/>
      <c r="I124" s="9"/>
      <c r="J124" s="11"/>
      <c r="K124" s="11"/>
      <c r="L124" s="11"/>
      <c r="M124" s="11"/>
      <c r="N124" s="11"/>
      <c r="O124" s="11"/>
      <c r="P124" s="12"/>
      <c r="Q124" s="11"/>
      <c r="R124" s="11">
        <f t="shared" si="1"/>
        <v>18</v>
      </c>
      <c r="S124" s="11">
        <v>3</v>
      </c>
      <c r="T124" s="11">
        <v>6</v>
      </c>
    </row>
    <row r="125" spans="1:20" ht="14.25" customHeight="1" x14ac:dyDescent="0.2">
      <c r="A125" s="6"/>
      <c r="B125" s="7"/>
      <c r="C125" s="13"/>
      <c r="D125" s="9" t="s">
        <v>148</v>
      </c>
      <c r="E125" s="9" t="s">
        <v>468</v>
      </c>
      <c r="F125" s="10"/>
      <c r="G125" s="9" t="s">
        <v>381</v>
      </c>
      <c r="H125" s="9" t="s">
        <v>27</v>
      </c>
      <c r="I125" s="9">
        <v>29.915002000000001</v>
      </c>
      <c r="J125" s="11">
        <v>73.868482999999998</v>
      </c>
      <c r="K125" s="11" t="s">
        <v>481</v>
      </c>
      <c r="L125" s="11"/>
      <c r="M125" s="11"/>
      <c r="N125" s="11"/>
      <c r="O125" s="11"/>
      <c r="P125" s="12" t="s">
        <v>166</v>
      </c>
      <c r="Q125" s="11"/>
      <c r="R125" s="11">
        <f t="shared" si="1"/>
        <v>237.5</v>
      </c>
      <c r="S125" s="11">
        <v>25</v>
      </c>
      <c r="T125" s="11">
        <v>9.5</v>
      </c>
    </row>
    <row r="126" spans="1:20" ht="14.25" customHeight="1" x14ac:dyDescent="0.2">
      <c r="A126" s="6"/>
      <c r="B126" s="7"/>
      <c r="C126" s="13"/>
      <c r="D126" s="9"/>
      <c r="E126" s="9"/>
      <c r="F126" s="10"/>
      <c r="G126" s="9"/>
      <c r="H126" s="9"/>
      <c r="I126" s="9"/>
      <c r="J126" s="11"/>
      <c r="K126" s="11"/>
      <c r="L126" s="11"/>
      <c r="M126" s="11"/>
      <c r="N126" s="11"/>
      <c r="O126" s="11"/>
      <c r="P126" s="12"/>
      <c r="Q126" s="11"/>
      <c r="R126" s="11">
        <f t="shared" si="1"/>
        <v>18</v>
      </c>
      <c r="S126" s="11">
        <v>3</v>
      </c>
      <c r="T126" s="11">
        <v>6</v>
      </c>
    </row>
    <row r="127" spans="1:20" ht="14.25" customHeight="1" x14ac:dyDescent="0.2">
      <c r="A127" s="6"/>
      <c r="B127" s="7"/>
      <c r="C127" s="13"/>
      <c r="D127" s="9" t="s">
        <v>148</v>
      </c>
      <c r="E127" s="9" t="s">
        <v>468</v>
      </c>
      <c r="F127" s="10"/>
      <c r="G127" s="9" t="s">
        <v>381</v>
      </c>
      <c r="H127" s="9" t="s">
        <v>27</v>
      </c>
      <c r="I127" s="9">
        <v>29.914981999999998</v>
      </c>
      <c r="J127" s="11">
        <v>73.868514000000005</v>
      </c>
      <c r="K127" s="11" t="s">
        <v>482</v>
      </c>
      <c r="L127" s="11"/>
      <c r="M127" s="11"/>
      <c r="N127" s="11"/>
      <c r="O127" s="11"/>
      <c r="P127" s="12" t="s">
        <v>166</v>
      </c>
      <c r="Q127" s="11"/>
      <c r="R127" s="11">
        <f t="shared" si="1"/>
        <v>237.5</v>
      </c>
      <c r="S127" s="11">
        <v>25</v>
      </c>
      <c r="T127" s="11">
        <v>9.5</v>
      </c>
    </row>
    <row r="128" spans="1:20" ht="14.25" customHeight="1" x14ac:dyDescent="0.2">
      <c r="A128" s="6"/>
      <c r="B128" s="7"/>
      <c r="C128" s="13"/>
      <c r="D128" s="9"/>
      <c r="E128" s="9"/>
      <c r="F128" s="10"/>
      <c r="G128" s="9"/>
      <c r="H128" s="9"/>
      <c r="I128" s="9"/>
      <c r="J128" s="11"/>
      <c r="K128" s="11"/>
      <c r="L128" s="11"/>
      <c r="M128" s="11"/>
      <c r="N128" s="11"/>
      <c r="O128" s="11"/>
      <c r="P128" s="12"/>
      <c r="Q128" s="11"/>
      <c r="R128" s="11">
        <f t="shared" si="1"/>
        <v>18</v>
      </c>
      <c r="S128" s="11">
        <v>3</v>
      </c>
      <c r="T128" s="11">
        <v>6</v>
      </c>
    </row>
    <row r="129" spans="1:20" ht="14.25" customHeight="1" x14ac:dyDescent="0.2">
      <c r="A129" s="6"/>
      <c r="B129" s="7"/>
      <c r="C129" s="13"/>
      <c r="D129" s="9" t="s">
        <v>148</v>
      </c>
      <c r="E129" s="9" t="s">
        <v>468</v>
      </c>
      <c r="F129" s="10"/>
      <c r="G129" s="9" t="s">
        <v>381</v>
      </c>
      <c r="H129" s="9" t="s">
        <v>27</v>
      </c>
      <c r="I129" s="9">
        <v>29.914904</v>
      </c>
      <c r="J129" s="11">
        <v>73.86833</v>
      </c>
      <c r="K129" s="11" t="s">
        <v>483</v>
      </c>
      <c r="L129" s="11"/>
      <c r="M129" s="11"/>
      <c r="N129" s="11"/>
      <c r="O129" s="11"/>
      <c r="P129" s="12" t="s">
        <v>166</v>
      </c>
      <c r="Q129" s="11"/>
      <c r="R129" s="11">
        <f t="shared" si="1"/>
        <v>237.5</v>
      </c>
      <c r="S129" s="11">
        <v>25</v>
      </c>
      <c r="T129" s="11">
        <v>9.5</v>
      </c>
    </row>
    <row r="130" spans="1:20" ht="14.25" customHeight="1" x14ac:dyDescent="0.2">
      <c r="A130" s="6"/>
      <c r="B130" s="7"/>
      <c r="C130" s="13"/>
      <c r="D130" s="9"/>
      <c r="E130" s="9"/>
      <c r="F130" s="10"/>
      <c r="G130" s="9"/>
      <c r="H130" s="9"/>
      <c r="I130" s="9"/>
      <c r="J130" s="11"/>
      <c r="K130" s="11"/>
      <c r="L130" s="11"/>
      <c r="M130" s="11"/>
      <c r="N130" s="11"/>
      <c r="O130" s="11"/>
      <c r="P130" s="12"/>
      <c r="Q130" s="11"/>
      <c r="R130" s="11">
        <f t="shared" si="1"/>
        <v>18</v>
      </c>
      <c r="S130" s="11">
        <v>3</v>
      </c>
      <c r="T130" s="11">
        <v>6</v>
      </c>
    </row>
    <row r="131" spans="1:20" ht="14.25" customHeight="1" x14ac:dyDescent="0.2">
      <c r="A131" s="6"/>
      <c r="B131" s="7"/>
      <c r="C131" s="13"/>
      <c r="D131" s="9" t="s">
        <v>148</v>
      </c>
      <c r="E131" s="9" t="s">
        <v>468</v>
      </c>
      <c r="F131" s="10"/>
      <c r="G131" s="9" t="s">
        <v>381</v>
      </c>
      <c r="H131" s="9" t="s">
        <v>27</v>
      </c>
      <c r="I131" s="9">
        <v>29.914947999999999</v>
      </c>
      <c r="J131" s="11">
        <v>73.868245000000002</v>
      </c>
      <c r="K131" s="11" t="s">
        <v>484</v>
      </c>
      <c r="L131" s="11"/>
      <c r="M131" s="11"/>
      <c r="N131" s="11"/>
      <c r="O131" s="11"/>
      <c r="P131" s="12" t="s">
        <v>238</v>
      </c>
      <c r="Q131" s="11"/>
      <c r="R131" s="11">
        <f t="shared" si="1"/>
        <v>390</v>
      </c>
      <c r="S131" s="11">
        <v>30</v>
      </c>
      <c r="T131" s="11">
        <v>13</v>
      </c>
    </row>
    <row r="132" spans="1:20" ht="14.25" customHeight="1" x14ac:dyDescent="0.2">
      <c r="A132" s="6">
        <v>16</v>
      </c>
      <c r="B132" s="7" t="s">
        <v>22</v>
      </c>
      <c r="C132" s="13" t="s">
        <v>485</v>
      </c>
      <c r="D132" s="9" t="s">
        <v>148</v>
      </c>
      <c r="E132" s="9" t="s">
        <v>486</v>
      </c>
      <c r="F132" s="7" t="s">
        <v>487</v>
      </c>
      <c r="G132" s="9" t="s">
        <v>381</v>
      </c>
      <c r="H132" s="9" t="s">
        <v>27</v>
      </c>
      <c r="I132" s="9">
        <v>27.636127999999999</v>
      </c>
      <c r="J132" s="11">
        <v>74.399585999999999</v>
      </c>
      <c r="K132" s="11" t="s">
        <v>488</v>
      </c>
      <c r="L132" s="11"/>
      <c r="M132" s="11"/>
      <c r="N132" s="11"/>
      <c r="O132" s="11"/>
      <c r="P132" s="12" t="s">
        <v>243</v>
      </c>
      <c r="Q132" s="11"/>
      <c r="R132" s="11">
        <f t="shared" ref="R132:R154" si="2">S132*T132</f>
        <v>700</v>
      </c>
      <c r="S132" s="11">
        <v>70</v>
      </c>
      <c r="T132" s="11">
        <v>10</v>
      </c>
    </row>
    <row r="133" spans="1:20" ht="14.25" customHeight="1" x14ac:dyDescent="0.2">
      <c r="A133" s="6"/>
      <c r="B133" s="7"/>
      <c r="C133" s="13"/>
      <c r="D133" s="9"/>
      <c r="E133" s="9"/>
      <c r="F133" s="7"/>
      <c r="G133" s="9"/>
      <c r="H133" s="9"/>
      <c r="I133" s="9"/>
      <c r="J133" s="11"/>
      <c r="K133" s="11"/>
      <c r="L133" s="11"/>
      <c r="M133" s="11"/>
      <c r="N133" s="11"/>
      <c r="O133" s="11"/>
      <c r="P133" s="12"/>
      <c r="Q133" s="11"/>
      <c r="R133" s="11">
        <f t="shared" si="2"/>
        <v>120</v>
      </c>
      <c r="S133" s="11">
        <v>20</v>
      </c>
      <c r="T133" s="11">
        <v>6</v>
      </c>
    </row>
    <row r="134" spans="1:20" ht="14.25" customHeight="1" x14ac:dyDescent="0.2">
      <c r="A134" s="6"/>
      <c r="B134" s="7"/>
      <c r="C134" s="13"/>
      <c r="D134" s="9" t="s">
        <v>148</v>
      </c>
      <c r="E134" s="9" t="s">
        <v>486</v>
      </c>
      <c r="F134" s="7"/>
      <c r="G134" s="9" t="s">
        <v>381</v>
      </c>
      <c r="H134" s="9" t="s">
        <v>27</v>
      </c>
      <c r="I134" s="9">
        <v>27.636172999999999</v>
      </c>
      <c r="J134" s="11">
        <v>74.399386000000007</v>
      </c>
      <c r="K134" s="11" t="s">
        <v>489</v>
      </c>
      <c r="L134" s="11"/>
      <c r="M134" s="11"/>
      <c r="N134" s="11"/>
      <c r="O134" s="11"/>
      <c r="P134" s="12" t="s">
        <v>243</v>
      </c>
      <c r="Q134" s="11"/>
      <c r="R134" s="11">
        <f t="shared" si="2"/>
        <v>648</v>
      </c>
      <c r="S134" s="11">
        <v>81</v>
      </c>
      <c r="T134" s="11">
        <v>8</v>
      </c>
    </row>
    <row r="135" spans="1:20" ht="14.25" customHeight="1" x14ac:dyDescent="0.2">
      <c r="A135" s="6"/>
      <c r="B135" s="7"/>
      <c r="C135" s="13"/>
      <c r="D135" s="9" t="s">
        <v>148</v>
      </c>
      <c r="E135" s="9" t="s">
        <v>486</v>
      </c>
      <c r="F135" s="7"/>
      <c r="G135" s="9" t="s">
        <v>381</v>
      </c>
      <c r="H135" s="9" t="s">
        <v>27</v>
      </c>
      <c r="I135" s="9">
        <v>27.636469000000002</v>
      </c>
      <c r="J135" s="11">
        <v>74.397486000000001</v>
      </c>
      <c r="K135" s="11" t="s">
        <v>490</v>
      </c>
      <c r="L135" s="11"/>
      <c r="M135" s="11"/>
      <c r="N135" s="11"/>
      <c r="O135" s="11"/>
      <c r="P135" s="12" t="s">
        <v>243</v>
      </c>
      <c r="Q135" s="11"/>
      <c r="R135" s="11">
        <f t="shared" si="2"/>
        <v>672</v>
      </c>
      <c r="S135" s="11">
        <v>48</v>
      </c>
      <c r="T135" s="11">
        <v>14</v>
      </c>
    </row>
    <row r="136" spans="1:20" ht="14.25" customHeight="1" x14ac:dyDescent="0.2">
      <c r="A136" s="6"/>
      <c r="B136" s="7"/>
      <c r="C136" s="13"/>
      <c r="D136" s="9" t="s">
        <v>148</v>
      </c>
      <c r="E136" s="9" t="s">
        <v>486</v>
      </c>
      <c r="F136" s="7"/>
      <c r="G136" s="9" t="s">
        <v>381</v>
      </c>
      <c r="H136" s="9" t="s">
        <v>27</v>
      </c>
      <c r="I136" s="9">
        <v>27.622548999999999</v>
      </c>
      <c r="J136" s="11">
        <v>74.384354000000002</v>
      </c>
      <c r="K136" s="11" t="s">
        <v>491</v>
      </c>
      <c r="L136" s="11"/>
      <c r="M136" s="11"/>
      <c r="N136" s="11"/>
      <c r="O136" s="11"/>
      <c r="P136" s="12" t="s">
        <v>243</v>
      </c>
      <c r="Q136" s="11"/>
      <c r="R136" s="11">
        <f t="shared" si="2"/>
        <v>783</v>
      </c>
      <c r="S136" s="11">
        <v>87</v>
      </c>
      <c r="T136" s="11">
        <v>9</v>
      </c>
    </row>
    <row r="137" spans="1:20" ht="14.25" customHeight="1" x14ac:dyDescent="0.2">
      <c r="A137" s="6"/>
      <c r="B137" s="7"/>
      <c r="C137" s="13"/>
      <c r="D137" s="9" t="s">
        <v>148</v>
      </c>
      <c r="E137" s="9" t="s">
        <v>486</v>
      </c>
      <c r="F137" s="7"/>
      <c r="G137" s="9" t="s">
        <v>381</v>
      </c>
      <c r="H137" s="9" t="s">
        <v>27</v>
      </c>
      <c r="I137" s="9">
        <v>27.62256</v>
      </c>
      <c r="J137" s="11">
        <v>74.384353000000004</v>
      </c>
      <c r="K137" s="11" t="s">
        <v>492</v>
      </c>
      <c r="L137" s="11"/>
      <c r="M137" s="11"/>
      <c r="N137" s="11"/>
      <c r="O137" s="11"/>
      <c r="P137" s="12" t="s">
        <v>252</v>
      </c>
      <c r="Q137" s="11"/>
      <c r="R137" s="11">
        <f t="shared" si="2"/>
        <v>495</v>
      </c>
      <c r="S137" s="11">
        <v>55</v>
      </c>
      <c r="T137" s="11">
        <v>9</v>
      </c>
    </row>
    <row r="138" spans="1:20" ht="14.25" customHeight="1" x14ac:dyDescent="0.2">
      <c r="A138" s="6"/>
      <c r="B138" s="7"/>
      <c r="C138" s="13"/>
      <c r="D138" s="9" t="s">
        <v>148</v>
      </c>
      <c r="E138" s="9" t="s">
        <v>486</v>
      </c>
      <c r="F138" s="7"/>
      <c r="G138" s="9" t="s">
        <v>381</v>
      </c>
      <c r="H138" s="9" t="s">
        <v>27</v>
      </c>
      <c r="I138" s="9">
        <v>27.622578000000001</v>
      </c>
      <c r="J138" s="11">
        <v>74.383768000000003</v>
      </c>
      <c r="K138" s="11" t="s">
        <v>493</v>
      </c>
      <c r="L138" s="11"/>
      <c r="M138" s="11"/>
      <c r="N138" s="11"/>
      <c r="O138" s="11"/>
      <c r="P138" s="12" t="s">
        <v>252</v>
      </c>
      <c r="Q138" s="11"/>
      <c r="R138" s="11">
        <f t="shared" si="2"/>
        <v>972</v>
      </c>
      <c r="S138" s="11">
        <v>108</v>
      </c>
      <c r="T138" s="11">
        <v>9</v>
      </c>
    </row>
    <row r="139" spans="1:20" ht="14.25" customHeight="1" x14ac:dyDescent="0.2">
      <c r="A139" s="6"/>
      <c r="B139" s="7"/>
      <c r="C139" s="13"/>
      <c r="D139" s="9" t="s">
        <v>148</v>
      </c>
      <c r="E139" s="9" t="s">
        <v>486</v>
      </c>
      <c r="F139" s="7"/>
      <c r="G139" s="9" t="s">
        <v>381</v>
      </c>
      <c r="H139" s="9" t="s">
        <v>27</v>
      </c>
      <c r="I139" s="9">
        <v>27.638558</v>
      </c>
      <c r="J139" s="11">
        <v>74.410616000000005</v>
      </c>
      <c r="K139" s="11" t="s">
        <v>494</v>
      </c>
      <c r="L139" s="11"/>
      <c r="M139" s="11"/>
      <c r="N139" s="11"/>
      <c r="O139" s="11"/>
      <c r="P139" s="12" t="s">
        <v>252</v>
      </c>
      <c r="Q139" s="11"/>
      <c r="R139" s="11">
        <f t="shared" si="2"/>
        <v>1425</v>
      </c>
      <c r="S139" s="11">
        <v>95</v>
      </c>
      <c r="T139" s="11">
        <v>15</v>
      </c>
    </row>
    <row r="140" spans="1:20" ht="14.25" customHeight="1" x14ac:dyDescent="0.2">
      <c r="A140" s="6">
        <v>17</v>
      </c>
      <c r="B140" s="7" t="s">
        <v>22</v>
      </c>
      <c r="C140" s="13" t="s">
        <v>495</v>
      </c>
      <c r="D140" s="9" t="s">
        <v>384</v>
      </c>
      <c r="E140" s="9" t="s">
        <v>388</v>
      </c>
      <c r="F140" s="7" t="s">
        <v>496</v>
      </c>
      <c r="G140" s="9" t="s">
        <v>381</v>
      </c>
      <c r="H140" s="9" t="s">
        <v>27</v>
      </c>
      <c r="I140" s="9">
        <v>27.733018999999999</v>
      </c>
      <c r="J140" s="11">
        <v>75.771152999999998</v>
      </c>
      <c r="K140" s="11" t="s">
        <v>497</v>
      </c>
      <c r="L140" s="11"/>
      <c r="M140" s="11"/>
      <c r="N140" s="11"/>
      <c r="O140" s="11"/>
      <c r="P140" s="12" t="s">
        <v>259</v>
      </c>
      <c r="Q140" s="11"/>
      <c r="R140" s="11">
        <f t="shared" si="2"/>
        <v>1488</v>
      </c>
      <c r="S140" s="11">
        <v>93</v>
      </c>
      <c r="T140" s="11">
        <v>16</v>
      </c>
    </row>
    <row r="141" spans="1:20" ht="14.25" customHeight="1" x14ac:dyDescent="0.2">
      <c r="A141" s="6"/>
      <c r="B141" s="7"/>
      <c r="C141" s="13"/>
      <c r="D141" s="9" t="s">
        <v>384</v>
      </c>
      <c r="E141" s="9" t="s">
        <v>388</v>
      </c>
      <c r="F141" s="7"/>
      <c r="G141" s="9" t="s">
        <v>381</v>
      </c>
      <c r="H141" s="9" t="s">
        <v>27</v>
      </c>
      <c r="I141" s="9">
        <v>27.728573000000001</v>
      </c>
      <c r="J141" s="11">
        <v>75.759262000000007</v>
      </c>
      <c r="K141" s="11" t="s">
        <v>498</v>
      </c>
      <c r="L141" s="11"/>
      <c r="M141" s="11"/>
      <c r="N141" s="11"/>
      <c r="O141" s="11"/>
      <c r="P141" s="12" t="s">
        <v>259</v>
      </c>
      <c r="Q141" s="11"/>
      <c r="R141" s="11">
        <f t="shared" si="2"/>
        <v>759</v>
      </c>
      <c r="S141" s="11">
        <v>46</v>
      </c>
      <c r="T141" s="11">
        <v>16.5</v>
      </c>
    </row>
    <row r="142" spans="1:20" ht="14.25" customHeight="1" x14ac:dyDescent="0.2">
      <c r="A142" s="6"/>
      <c r="B142" s="7"/>
      <c r="C142" s="13"/>
      <c r="D142" s="9" t="s">
        <v>384</v>
      </c>
      <c r="E142" s="9" t="s">
        <v>388</v>
      </c>
      <c r="F142" s="7"/>
      <c r="G142" s="9" t="s">
        <v>381</v>
      </c>
      <c r="H142" s="9" t="s">
        <v>27</v>
      </c>
      <c r="I142" s="9">
        <v>27.732258000000002</v>
      </c>
      <c r="J142" s="11">
        <v>75.771051999999997</v>
      </c>
      <c r="K142" s="11" t="s">
        <v>499</v>
      </c>
      <c r="L142" s="11"/>
      <c r="M142" s="11"/>
      <c r="N142" s="11"/>
      <c r="O142" s="11"/>
      <c r="P142" s="12" t="s">
        <v>259</v>
      </c>
      <c r="Q142" s="11"/>
      <c r="R142" s="11">
        <f t="shared" si="2"/>
        <v>1743</v>
      </c>
      <c r="S142" s="11">
        <v>83</v>
      </c>
      <c r="T142" s="11">
        <v>21</v>
      </c>
    </row>
    <row r="143" spans="1:20" ht="14.25" customHeight="1" x14ac:dyDescent="0.2">
      <c r="A143" s="6">
        <v>18</v>
      </c>
      <c r="B143" s="7" t="s">
        <v>22</v>
      </c>
      <c r="C143" s="13" t="s">
        <v>500</v>
      </c>
      <c r="D143" s="9" t="s">
        <v>501</v>
      </c>
      <c r="E143" s="9" t="s">
        <v>502</v>
      </c>
      <c r="F143" s="7" t="s">
        <v>503</v>
      </c>
      <c r="G143" s="9" t="s">
        <v>381</v>
      </c>
      <c r="H143" s="9" t="s">
        <v>27</v>
      </c>
      <c r="I143" s="9">
        <v>26.809248</v>
      </c>
      <c r="J143" s="11">
        <v>75.554347000000007</v>
      </c>
      <c r="K143" s="11" t="s">
        <v>504</v>
      </c>
      <c r="L143" s="11"/>
      <c r="M143" s="11"/>
      <c r="N143" s="11"/>
      <c r="O143" s="11"/>
      <c r="P143" s="12" t="s">
        <v>263</v>
      </c>
      <c r="Q143" s="11"/>
      <c r="R143" s="11">
        <f t="shared" si="2"/>
        <v>1080</v>
      </c>
      <c r="S143" s="11">
        <v>108</v>
      </c>
      <c r="T143" s="11">
        <v>10</v>
      </c>
    </row>
    <row r="144" spans="1:20" ht="14.25" customHeight="1" x14ac:dyDescent="0.2">
      <c r="A144" s="6"/>
      <c r="B144" s="7"/>
      <c r="C144" s="13"/>
      <c r="D144" s="9"/>
      <c r="E144" s="9"/>
      <c r="F144" s="7"/>
      <c r="G144" s="9"/>
      <c r="H144" s="9"/>
      <c r="I144" s="9"/>
      <c r="J144" s="11"/>
      <c r="K144" s="11"/>
      <c r="L144" s="11"/>
      <c r="M144" s="11"/>
      <c r="N144" s="11"/>
      <c r="O144" s="11"/>
      <c r="P144" s="12"/>
      <c r="Q144" s="11"/>
      <c r="R144" s="11">
        <f t="shared" si="2"/>
        <v>27</v>
      </c>
      <c r="S144" s="11">
        <v>18</v>
      </c>
      <c r="T144" s="11">
        <v>1.5</v>
      </c>
    </row>
    <row r="145" spans="1:20" ht="14.25" customHeight="1" x14ac:dyDescent="0.2">
      <c r="A145" s="6"/>
      <c r="B145" s="7"/>
      <c r="C145" s="13"/>
      <c r="D145" s="9" t="s">
        <v>501</v>
      </c>
      <c r="E145" s="9" t="s">
        <v>502</v>
      </c>
      <c r="F145" s="7"/>
      <c r="G145" s="9" t="s">
        <v>381</v>
      </c>
      <c r="H145" s="9" t="s">
        <v>27</v>
      </c>
      <c r="I145" s="9">
        <v>26.809726000000001</v>
      </c>
      <c r="J145" s="11">
        <v>75.554384999999996</v>
      </c>
      <c r="K145" s="11" t="s">
        <v>505</v>
      </c>
      <c r="L145" s="11"/>
      <c r="M145" s="11"/>
      <c r="N145" s="11"/>
      <c r="O145" s="11"/>
      <c r="P145" s="12" t="s">
        <v>263</v>
      </c>
      <c r="Q145" s="11"/>
      <c r="R145" s="11">
        <f t="shared" si="2"/>
        <v>304</v>
      </c>
      <c r="S145" s="11">
        <v>32</v>
      </c>
      <c r="T145" s="11">
        <v>9.5</v>
      </c>
    </row>
    <row r="146" spans="1:20" ht="14.25" customHeight="1" x14ac:dyDescent="0.2">
      <c r="A146" s="6"/>
      <c r="B146" s="7"/>
      <c r="C146" s="13"/>
      <c r="D146" s="9" t="s">
        <v>501</v>
      </c>
      <c r="E146" s="9" t="s">
        <v>502</v>
      </c>
      <c r="F146" s="7"/>
      <c r="G146" s="9" t="s">
        <v>381</v>
      </c>
      <c r="H146" s="9" t="s">
        <v>27</v>
      </c>
      <c r="I146" s="9">
        <v>26.809802999999999</v>
      </c>
      <c r="J146" s="11">
        <v>75.554362999999995</v>
      </c>
      <c r="K146" s="11" t="s">
        <v>506</v>
      </c>
      <c r="L146" s="11"/>
      <c r="M146" s="11"/>
      <c r="N146" s="11"/>
      <c r="O146" s="11"/>
      <c r="P146" s="12" t="s">
        <v>263</v>
      </c>
      <c r="Q146" s="11"/>
      <c r="R146" s="11">
        <f t="shared" si="2"/>
        <v>880</v>
      </c>
      <c r="S146" s="11">
        <v>55</v>
      </c>
      <c r="T146" s="11">
        <v>16</v>
      </c>
    </row>
    <row r="147" spans="1:20" ht="14.25" customHeight="1" x14ac:dyDescent="0.2">
      <c r="A147" s="6"/>
      <c r="B147" s="7"/>
      <c r="C147" s="13"/>
      <c r="D147" s="9" t="s">
        <v>501</v>
      </c>
      <c r="E147" s="9" t="s">
        <v>502</v>
      </c>
      <c r="F147" s="7"/>
      <c r="G147" s="9" t="s">
        <v>381</v>
      </c>
      <c r="H147" s="9" t="s">
        <v>27</v>
      </c>
      <c r="I147" s="9">
        <v>26.808807999999999</v>
      </c>
      <c r="J147" s="11">
        <v>75.555261999999999</v>
      </c>
      <c r="K147" s="11" t="s">
        <v>507</v>
      </c>
      <c r="L147" s="11"/>
      <c r="M147" s="11"/>
      <c r="N147" s="11"/>
      <c r="O147" s="11"/>
      <c r="P147" s="12" t="s">
        <v>263</v>
      </c>
      <c r="Q147" s="11"/>
      <c r="R147" s="11">
        <f t="shared" si="2"/>
        <v>935</v>
      </c>
      <c r="S147" s="11">
        <v>55</v>
      </c>
      <c r="T147" s="11">
        <v>17</v>
      </c>
    </row>
    <row r="148" spans="1:20" ht="14.25" customHeight="1" x14ac:dyDescent="0.2">
      <c r="A148" s="6"/>
      <c r="B148" s="7"/>
      <c r="C148" s="13"/>
      <c r="D148" s="9" t="s">
        <v>501</v>
      </c>
      <c r="E148" s="9" t="s">
        <v>502</v>
      </c>
      <c r="F148" s="7"/>
      <c r="G148" s="9" t="s">
        <v>381</v>
      </c>
      <c r="H148" s="9" t="s">
        <v>27</v>
      </c>
      <c r="I148" s="9">
        <v>26.809215999999999</v>
      </c>
      <c r="J148" s="11">
        <v>75.555081999999999</v>
      </c>
      <c r="K148" s="11" t="s">
        <v>508</v>
      </c>
      <c r="L148" s="11"/>
      <c r="M148" s="11"/>
      <c r="N148" s="11"/>
      <c r="O148" s="11"/>
      <c r="P148" s="12" t="s">
        <v>263</v>
      </c>
      <c r="Q148" s="11"/>
      <c r="R148" s="11">
        <f t="shared" si="2"/>
        <v>1408</v>
      </c>
      <c r="S148" s="11">
        <v>88</v>
      </c>
      <c r="T148" s="11">
        <v>16</v>
      </c>
    </row>
    <row r="149" spans="1:20" ht="14.25" customHeight="1" x14ac:dyDescent="0.2">
      <c r="A149" s="6">
        <v>19</v>
      </c>
      <c r="B149" s="7" t="s">
        <v>22</v>
      </c>
      <c r="C149" s="13" t="s">
        <v>509</v>
      </c>
      <c r="D149" s="9" t="s">
        <v>510</v>
      </c>
      <c r="E149" s="9" t="s">
        <v>511</v>
      </c>
      <c r="F149" s="7" t="s">
        <v>512</v>
      </c>
      <c r="G149" s="9" t="s">
        <v>381</v>
      </c>
      <c r="H149" s="9" t="s">
        <v>27</v>
      </c>
      <c r="I149" s="9">
        <v>27.035990000000002</v>
      </c>
      <c r="J149" s="11">
        <v>76.563811999999999</v>
      </c>
      <c r="K149" s="11" t="s">
        <v>513</v>
      </c>
      <c r="L149" s="11"/>
      <c r="M149" s="11"/>
      <c r="N149" s="11"/>
      <c r="O149" s="11"/>
      <c r="P149" s="12" t="s">
        <v>464</v>
      </c>
      <c r="Q149" s="11"/>
      <c r="R149" s="11">
        <f t="shared" si="2"/>
        <v>903</v>
      </c>
      <c r="S149" s="11">
        <v>43</v>
      </c>
      <c r="T149" s="11">
        <v>21</v>
      </c>
    </row>
    <row r="150" spans="1:20" ht="14.25" customHeight="1" x14ac:dyDescent="0.2">
      <c r="A150" s="6"/>
      <c r="B150" s="7"/>
      <c r="C150" s="13"/>
      <c r="D150" s="9"/>
      <c r="E150" s="9"/>
      <c r="F150" s="7"/>
      <c r="G150" s="9"/>
      <c r="H150" s="9"/>
      <c r="I150" s="9"/>
      <c r="J150" s="11"/>
      <c r="K150" s="11"/>
      <c r="L150" s="11"/>
      <c r="M150" s="11"/>
      <c r="N150" s="11"/>
      <c r="O150" s="11"/>
      <c r="P150" s="12"/>
      <c r="Q150" s="11"/>
      <c r="R150" s="11">
        <f t="shared" si="2"/>
        <v>105</v>
      </c>
      <c r="S150" s="11">
        <v>15</v>
      </c>
      <c r="T150" s="11">
        <v>7</v>
      </c>
    </row>
    <row r="151" spans="1:20" ht="14.25" customHeight="1" x14ac:dyDescent="0.2">
      <c r="A151" s="6"/>
      <c r="B151" s="7"/>
      <c r="C151" s="13"/>
      <c r="D151" s="72" t="s">
        <v>510</v>
      </c>
      <c r="E151" s="72" t="s">
        <v>511</v>
      </c>
      <c r="F151" s="7"/>
      <c r="G151" s="9" t="s">
        <v>381</v>
      </c>
      <c r="H151" s="9" t="s">
        <v>27</v>
      </c>
      <c r="I151" s="9">
        <v>27.060654</v>
      </c>
      <c r="J151" s="72">
        <v>76.577746000000005</v>
      </c>
      <c r="K151" s="11" t="s">
        <v>514</v>
      </c>
      <c r="L151" s="72"/>
      <c r="M151" s="72"/>
      <c r="N151" s="72"/>
      <c r="O151" s="72"/>
      <c r="P151" s="72" t="s">
        <v>464</v>
      </c>
      <c r="Q151" s="75"/>
      <c r="R151" s="11">
        <f t="shared" si="2"/>
        <v>1200</v>
      </c>
      <c r="S151" s="72">
        <v>60</v>
      </c>
      <c r="T151" s="72">
        <v>20</v>
      </c>
    </row>
    <row r="152" spans="1:20" ht="14.25" customHeight="1" x14ac:dyDescent="0.2">
      <c r="A152" s="6"/>
      <c r="B152" s="7"/>
      <c r="C152" s="13"/>
      <c r="D152" s="72" t="s">
        <v>510</v>
      </c>
      <c r="E152" s="72" t="s">
        <v>511</v>
      </c>
      <c r="F152" s="7"/>
      <c r="G152" s="9" t="s">
        <v>381</v>
      </c>
      <c r="H152" s="9" t="s">
        <v>27</v>
      </c>
      <c r="I152" s="72">
        <v>27.03857</v>
      </c>
      <c r="J152" s="72">
        <v>76.552407000000002</v>
      </c>
      <c r="K152" s="11" t="s">
        <v>515</v>
      </c>
      <c r="L152" s="72"/>
      <c r="M152" s="72"/>
      <c r="N152" s="72"/>
      <c r="O152" s="72"/>
      <c r="P152" s="72" t="s">
        <v>464</v>
      </c>
      <c r="Q152" s="75"/>
      <c r="R152" s="11">
        <f t="shared" si="2"/>
        <v>975</v>
      </c>
      <c r="S152" s="72">
        <v>50</v>
      </c>
      <c r="T152" s="72">
        <v>19.5</v>
      </c>
    </row>
    <row r="153" spans="1:20" ht="14.25" customHeight="1" x14ac:dyDescent="0.2">
      <c r="A153" s="6"/>
      <c r="B153" s="7"/>
      <c r="C153" s="13"/>
      <c r="D153" s="72"/>
      <c r="E153" s="72"/>
      <c r="F153" s="7"/>
      <c r="G153" s="72"/>
      <c r="H153" s="72"/>
      <c r="I153" s="72"/>
      <c r="J153" s="72"/>
      <c r="K153" s="11"/>
      <c r="L153" s="72"/>
      <c r="M153" s="72"/>
      <c r="N153" s="72"/>
      <c r="O153" s="72"/>
      <c r="P153" s="72"/>
      <c r="Q153" s="75"/>
      <c r="R153" s="11">
        <f t="shared" si="2"/>
        <v>120</v>
      </c>
      <c r="S153" s="72">
        <v>10</v>
      </c>
      <c r="T153" s="72">
        <v>12</v>
      </c>
    </row>
    <row r="154" spans="1:20" ht="14.25" customHeight="1" x14ac:dyDescent="0.2">
      <c r="A154" s="6"/>
      <c r="B154" s="7"/>
      <c r="C154" s="13"/>
      <c r="D154" s="72" t="s">
        <v>510</v>
      </c>
      <c r="E154" s="72" t="s">
        <v>511</v>
      </c>
      <c r="F154" s="7"/>
      <c r="G154" s="9" t="s">
        <v>381</v>
      </c>
      <c r="H154" s="9" t="s">
        <v>27</v>
      </c>
      <c r="I154" s="72">
        <v>27.038788</v>
      </c>
      <c r="J154" s="72">
        <v>76.552829000000003</v>
      </c>
      <c r="K154" s="11" t="s">
        <v>516</v>
      </c>
      <c r="L154" s="72"/>
      <c r="M154" s="72"/>
      <c r="N154" s="72"/>
      <c r="O154" s="72"/>
      <c r="P154" s="72" t="s">
        <v>464</v>
      </c>
      <c r="Q154" s="75"/>
      <c r="R154" s="11">
        <f t="shared" si="2"/>
        <v>700</v>
      </c>
      <c r="S154" s="72">
        <v>35</v>
      </c>
      <c r="T154" s="72">
        <v>20</v>
      </c>
    </row>
    <row r="155" spans="1:20" ht="14.25" customHeight="1" x14ac:dyDescent="0.2">
      <c r="A155" s="11"/>
      <c r="B155" s="9"/>
      <c r="C155" s="76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2"/>
      <c r="S155" s="72"/>
      <c r="T155" s="72"/>
    </row>
    <row r="156" spans="1:20" ht="14.25" customHeight="1" x14ac:dyDescent="0.2">
      <c r="A156" s="11"/>
      <c r="B156" s="9"/>
      <c r="C156" s="76"/>
      <c r="D156" s="75"/>
      <c r="E156" s="75"/>
      <c r="F156" s="75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2"/>
      <c r="S156" s="72"/>
      <c r="T156" s="72"/>
    </row>
    <row r="157" spans="1:20" ht="14.25" customHeight="1" x14ac:dyDescent="0.2">
      <c r="A157" s="11"/>
      <c r="B157" s="9"/>
      <c r="C157" s="76"/>
      <c r="R157" s="11"/>
      <c r="S157" s="11"/>
      <c r="T157" s="11"/>
    </row>
    <row r="158" spans="1:20" ht="14.25" customHeight="1" x14ac:dyDescent="0.2">
      <c r="A158" s="11"/>
      <c r="B158" s="9"/>
      <c r="C158" s="76"/>
      <c r="R158" s="11"/>
      <c r="S158" s="11"/>
      <c r="T158" s="11"/>
    </row>
    <row r="159" spans="1:20" ht="14.25" customHeight="1" x14ac:dyDescent="0.2">
      <c r="A159" s="11"/>
      <c r="B159" s="9"/>
      <c r="C159" s="76"/>
      <c r="R159" s="11"/>
      <c r="S159" s="11"/>
      <c r="T159" s="11"/>
    </row>
    <row r="160" spans="1:20" ht="14.25" customHeight="1" x14ac:dyDescent="0.2">
      <c r="A160" s="11"/>
      <c r="B160" s="9"/>
      <c r="C160" s="76"/>
      <c r="R160" s="11"/>
      <c r="S160" s="11"/>
      <c r="T160" s="11"/>
    </row>
    <row r="161" spans="1:20" ht="14.25" customHeight="1" x14ac:dyDescent="0.2">
      <c r="A161" s="11"/>
      <c r="B161" s="9"/>
      <c r="C161" s="76"/>
      <c r="D161" s="21"/>
      <c r="E161" s="21"/>
      <c r="F161" s="21"/>
      <c r="G161" s="21"/>
      <c r="H161" s="21"/>
      <c r="I161" s="21"/>
      <c r="N161" s="26"/>
      <c r="O161" s="27"/>
      <c r="P161" s="28"/>
      <c r="Q161" s="26"/>
      <c r="R161" s="23"/>
    </row>
    <row r="162" spans="1:20" ht="14.25" customHeight="1" x14ac:dyDescent="0.2">
      <c r="A162" s="11"/>
      <c r="B162" s="9"/>
      <c r="C162" s="76"/>
      <c r="D162" s="21"/>
      <c r="E162" s="21"/>
      <c r="F162" s="21"/>
      <c r="G162" s="21"/>
      <c r="H162" s="21"/>
      <c r="I162" s="21"/>
      <c r="J162" s="25" t="s">
        <v>286</v>
      </c>
      <c r="K162" s="25"/>
      <c r="L162" s="25"/>
      <c r="M162" s="25"/>
      <c r="N162" s="21"/>
      <c r="O162" s="21"/>
      <c r="P162" s="77"/>
      <c r="Q162" s="21"/>
      <c r="R162" s="29">
        <f>SUM(R3:R160)</f>
        <v>92589.5</v>
      </c>
      <c r="S162" s="26"/>
      <c r="T162" s="26"/>
    </row>
    <row r="163" spans="1:20" ht="14.25" customHeight="1" x14ac:dyDescent="0.2">
      <c r="A163" s="11"/>
      <c r="B163" s="9"/>
      <c r="C163" s="76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77"/>
      <c r="Q163" s="21"/>
      <c r="R163" s="21"/>
      <c r="S163" s="21"/>
      <c r="T163" s="21"/>
    </row>
    <row r="164" spans="1:20" ht="14.25" customHeight="1" x14ac:dyDescent="0.2">
      <c r="A164" s="11"/>
      <c r="B164" s="9"/>
      <c r="C164" s="76"/>
      <c r="D164" s="21"/>
      <c r="E164" s="21"/>
      <c r="F164" s="21"/>
      <c r="G164" s="21"/>
      <c r="H164" s="21"/>
      <c r="I164" s="21"/>
      <c r="M164" s="21"/>
      <c r="N164" s="21"/>
      <c r="O164" s="21"/>
      <c r="P164" s="77"/>
      <c r="Q164" s="21"/>
      <c r="R164" s="21"/>
      <c r="S164" s="21"/>
      <c r="T164" s="21"/>
    </row>
    <row r="165" spans="1:20" ht="14.25" customHeight="1" x14ac:dyDescent="0.2">
      <c r="A165" s="11"/>
      <c r="B165" s="9"/>
      <c r="C165" s="76"/>
      <c r="D165" s="21"/>
      <c r="E165" s="21"/>
      <c r="F165" s="21"/>
      <c r="G165" s="21"/>
      <c r="H165" s="21"/>
      <c r="I165" s="21"/>
      <c r="J165" s="78" t="s">
        <v>287</v>
      </c>
      <c r="K165" s="78"/>
      <c r="L165" s="78"/>
      <c r="M165" s="21"/>
      <c r="N165" s="21"/>
      <c r="O165" s="21"/>
      <c r="P165" s="77"/>
      <c r="Q165" s="21"/>
      <c r="R165" s="82">
        <f>R162</f>
        <v>92589.5</v>
      </c>
      <c r="S165" s="21"/>
      <c r="T165" s="21"/>
    </row>
    <row r="166" spans="1:20" ht="14.25" customHeight="1" x14ac:dyDescent="0.2">
      <c r="A166" s="11"/>
      <c r="B166" s="9"/>
      <c r="C166" s="76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77"/>
      <c r="Q166" s="21"/>
      <c r="R166" s="21"/>
      <c r="S166" s="21"/>
      <c r="T166" s="21"/>
    </row>
    <row r="167" spans="1:20" ht="14.25" customHeight="1" x14ac:dyDescent="0.2">
      <c r="A167" s="11"/>
      <c r="B167" s="9"/>
      <c r="C167" s="76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77"/>
      <c r="Q167" s="21"/>
      <c r="R167" s="21"/>
      <c r="S167" s="21"/>
      <c r="T167" s="21"/>
    </row>
    <row r="168" spans="1:20" ht="14.25" customHeight="1" x14ac:dyDescent="0.2">
      <c r="A168" s="11"/>
      <c r="B168" s="9"/>
      <c r="C168" s="76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77"/>
      <c r="Q168" s="21"/>
      <c r="R168" s="21"/>
      <c r="S168" s="21"/>
      <c r="T168" s="21"/>
    </row>
    <row r="169" spans="1:20" ht="14.25" customHeight="1" x14ac:dyDescent="0.2">
      <c r="A169" s="11"/>
      <c r="B169" s="9"/>
      <c r="C169" s="76"/>
      <c r="D169" s="79"/>
      <c r="E169" s="79"/>
      <c r="F169" s="79" t="s">
        <v>288</v>
      </c>
      <c r="G169" s="79"/>
      <c r="H169" s="79"/>
      <c r="I169" s="79"/>
      <c r="J169" s="21"/>
      <c r="K169" s="21"/>
      <c r="L169" s="21"/>
      <c r="M169" s="21"/>
      <c r="N169" s="79"/>
      <c r="O169" s="79"/>
      <c r="P169" s="79"/>
      <c r="Q169" s="79"/>
      <c r="R169" s="21"/>
      <c r="S169" s="21"/>
      <c r="T169" s="21"/>
    </row>
    <row r="170" spans="1:20" ht="14.25" customHeight="1" x14ac:dyDescent="0.2">
      <c r="A170" s="11"/>
      <c r="B170" s="9"/>
      <c r="C170" s="76"/>
      <c r="D170" s="79"/>
      <c r="E170" s="79"/>
      <c r="F170" s="79"/>
      <c r="G170" s="79"/>
      <c r="H170" s="79"/>
      <c r="I170" s="79"/>
      <c r="J170" s="79"/>
      <c r="K170" s="79"/>
      <c r="L170" s="79"/>
      <c r="M170" s="79"/>
      <c r="N170" s="79"/>
      <c r="O170" s="79"/>
      <c r="P170" s="79"/>
      <c r="Q170" s="79"/>
      <c r="R170" s="79"/>
      <c r="S170" s="79"/>
      <c r="T170" s="79"/>
    </row>
    <row r="171" spans="1:20" ht="14.25" customHeight="1" x14ac:dyDescent="0.2">
      <c r="A171" s="11"/>
      <c r="B171" s="9"/>
      <c r="C171" s="76"/>
      <c r="D171" s="79"/>
      <c r="E171" s="79"/>
      <c r="F171" s="79"/>
      <c r="G171" s="79"/>
      <c r="H171" s="79"/>
      <c r="I171" s="79"/>
      <c r="J171" s="79"/>
      <c r="K171" s="79"/>
      <c r="L171" s="79"/>
      <c r="M171" s="79"/>
      <c r="N171" s="79"/>
      <c r="O171" s="79"/>
      <c r="P171" s="79"/>
      <c r="Q171" s="79"/>
      <c r="R171" s="79"/>
      <c r="S171" s="79"/>
      <c r="T171" s="79"/>
    </row>
    <row r="172" spans="1:20" ht="14.25" customHeight="1" x14ac:dyDescent="0.2">
      <c r="A172" s="11"/>
      <c r="B172" s="9"/>
      <c r="C172" s="76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</row>
    <row r="173" spans="1:20" ht="14.25" customHeight="1" x14ac:dyDescent="0.2">
      <c r="A173" s="11"/>
      <c r="B173" s="9"/>
      <c r="C173" s="76"/>
      <c r="D173" s="79"/>
      <c r="E173" s="79"/>
      <c r="F173" s="79"/>
      <c r="G173" s="79"/>
      <c r="H173" s="79"/>
      <c r="I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</row>
    <row r="174" spans="1:20" ht="14.25" customHeight="1" x14ac:dyDescent="0.2">
      <c r="A174" s="11"/>
      <c r="B174" s="9"/>
      <c r="C174" s="76"/>
      <c r="D174" s="79"/>
      <c r="E174" s="79"/>
      <c r="F174" s="79"/>
      <c r="G174" s="79"/>
      <c r="H174" s="79"/>
      <c r="I174" s="79"/>
      <c r="K174" s="79"/>
      <c r="L174" s="79"/>
      <c r="M174" s="79"/>
      <c r="N174" s="79"/>
      <c r="O174" s="79"/>
      <c r="P174" s="79"/>
      <c r="Q174" s="79"/>
      <c r="R174" s="79"/>
      <c r="S174" s="79"/>
      <c r="T174" s="79"/>
    </row>
    <row r="175" spans="1:20" ht="14.25" customHeight="1" x14ac:dyDescent="0.2">
      <c r="A175" s="11"/>
      <c r="B175" s="9"/>
      <c r="C175" s="76"/>
      <c r="D175" s="79"/>
      <c r="E175" s="79"/>
      <c r="F175" s="79"/>
      <c r="G175" s="79"/>
      <c r="H175" s="79"/>
      <c r="I175" s="79"/>
      <c r="J175" s="79"/>
      <c r="K175" s="79"/>
      <c r="L175" s="79"/>
      <c r="M175" s="79"/>
      <c r="N175" s="79"/>
      <c r="O175" s="79"/>
      <c r="P175" s="79"/>
      <c r="Q175" s="79"/>
      <c r="R175" s="79"/>
      <c r="S175" s="79"/>
      <c r="T175" s="79"/>
    </row>
    <row r="176" spans="1:20" ht="14.25" customHeight="1" x14ac:dyDescent="0.2">
      <c r="A176" s="11"/>
      <c r="B176" s="9"/>
      <c r="C176" s="76"/>
      <c r="D176" s="79"/>
      <c r="E176" s="79"/>
      <c r="F176" s="79"/>
      <c r="G176" s="79"/>
      <c r="H176" s="79"/>
      <c r="I176" s="79"/>
      <c r="J176" s="79"/>
      <c r="K176" s="79"/>
      <c r="L176" s="79"/>
      <c r="M176" s="79"/>
      <c r="N176" s="79"/>
      <c r="O176" s="79"/>
      <c r="P176" s="79"/>
      <c r="Q176" s="79"/>
      <c r="R176" s="79"/>
      <c r="S176" s="79"/>
      <c r="T176" s="79"/>
    </row>
    <row r="177" spans="1:20" ht="14.25" customHeight="1" x14ac:dyDescent="0.2">
      <c r="A177" s="11"/>
      <c r="B177" s="9"/>
      <c r="C177" s="76"/>
      <c r="D177" s="79"/>
      <c r="E177" s="79"/>
      <c r="F177" s="79"/>
      <c r="G177" s="79"/>
      <c r="H177" s="79"/>
      <c r="I177" s="79"/>
      <c r="J177" s="79"/>
      <c r="K177" s="79"/>
      <c r="L177" s="79"/>
      <c r="M177" s="79"/>
      <c r="N177" s="79"/>
      <c r="O177" s="79"/>
      <c r="P177" s="79"/>
      <c r="Q177" s="79"/>
      <c r="R177" s="79"/>
      <c r="S177" s="79"/>
      <c r="T177" s="79"/>
    </row>
    <row r="178" spans="1:20" ht="14.25" customHeight="1" x14ac:dyDescent="0.2">
      <c r="A178" s="11"/>
      <c r="B178" s="9"/>
      <c r="C178" s="76"/>
      <c r="J178" s="79"/>
      <c r="K178" s="79"/>
      <c r="L178" s="79"/>
      <c r="M178" s="79"/>
      <c r="R178" s="79"/>
      <c r="S178" s="79"/>
      <c r="T178" s="79"/>
    </row>
    <row r="179" spans="1:20" ht="14.25" customHeight="1" x14ac:dyDescent="0.2">
      <c r="A179" s="11"/>
      <c r="B179" s="9"/>
      <c r="C179" s="76"/>
    </row>
    <row r="180" spans="1:20" ht="14.25" customHeight="1" x14ac:dyDescent="0.2">
      <c r="A180" s="11"/>
      <c r="B180" s="9"/>
      <c r="C180" s="76"/>
    </row>
    <row r="181" spans="1:20" ht="14.25" customHeight="1" x14ac:dyDescent="0.2">
      <c r="A181" s="11"/>
      <c r="B181" s="9"/>
      <c r="C181" s="76"/>
    </row>
    <row r="182" spans="1:20" ht="14.25" customHeight="1" x14ac:dyDescent="0.2">
      <c r="A182" s="11"/>
      <c r="B182" s="9"/>
      <c r="C182" s="76"/>
    </row>
    <row r="183" spans="1:20" ht="14.25" customHeight="1" x14ac:dyDescent="0.2">
      <c r="A183" s="11"/>
      <c r="B183" s="9"/>
      <c r="C183" s="76"/>
    </row>
    <row r="184" spans="1:20" ht="14.25" customHeight="1" x14ac:dyDescent="0.2">
      <c r="A184" s="11"/>
      <c r="B184" s="9"/>
      <c r="C184" s="76"/>
    </row>
    <row r="185" spans="1:20" ht="14.25" customHeight="1" x14ac:dyDescent="0.2">
      <c r="A185" s="11"/>
      <c r="B185" s="9"/>
      <c r="C185" s="76"/>
    </row>
    <row r="186" spans="1:20" ht="14.25" customHeight="1" x14ac:dyDescent="0.2">
      <c r="A186" s="11"/>
      <c r="B186" s="9"/>
      <c r="C186" s="76"/>
    </row>
    <row r="187" spans="1:20" ht="14.25" customHeight="1" x14ac:dyDescent="0.2">
      <c r="A187" s="11"/>
      <c r="B187" s="9"/>
      <c r="C187" s="76"/>
    </row>
    <row r="188" spans="1:20" ht="14.25" customHeight="1" x14ac:dyDescent="0.2">
      <c r="A188" s="11"/>
      <c r="B188" s="9"/>
      <c r="C188" s="76"/>
    </row>
    <row r="189" spans="1:20" ht="14.25" customHeight="1" x14ac:dyDescent="0.2">
      <c r="A189" s="11"/>
      <c r="B189" s="9"/>
      <c r="C189" s="76"/>
    </row>
    <row r="190" spans="1:20" ht="14.25" customHeight="1" x14ac:dyDescent="0.2">
      <c r="A190" s="11"/>
      <c r="B190" s="9"/>
      <c r="C190" s="76"/>
    </row>
    <row r="191" spans="1:20" ht="14.25" customHeight="1" x14ac:dyDescent="0.2">
      <c r="A191" s="11"/>
      <c r="B191" s="9"/>
      <c r="C191" s="76"/>
    </row>
    <row r="192" spans="1:20" ht="14.25" customHeight="1" x14ac:dyDescent="0.2">
      <c r="A192" s="11"/>
      <c r="B192" s="9"/>
      <c r="C192" s="76"/>
    </row>
    <row r="193" spans="1:3" ht="14.25" customHeight="1" x14ac:dyDescent="0.2">
      <c r="A193" s="11"/>
      <c r="B193" s="9"/>
      <c r="C193" s="76"/>
    </row>
    <row r="194" spans="1:3" ht="14.25" customHeight="1" x14ac:dyDescent="0.2">
      <c r="A194" s="11"/>
      <c r="B194" s="9"/>
      <c r="C194" s="76"/>
    </row>
    <row r="195" spans="1:3" ht="14.25" customHeight="1" x14ac:dyDescent="0.2">
      <c r="A195" s="11"/>
      <c r="B195" s="9"/>
      <c r="C195" s="22"/>
    </row>
    <row r="196" spans="1:3" ht="15" customHeight="1" x14ac:dyDescent="0.2">
      <c r="A196" s="11"/>
      <c r="B196" s="9"/>
      <c r="C196" s="22"/>
    </row>
    <row r="197" spans="1:3" ht="15" customHeight="1" x14ac:dyDescent="0.2">
      <c r="A197" s="11"/>
      <c r="B197" s="80"/>
      <c r="C197" s="22"/>
    </row>
    <row r="198" spans="1:3" x14ac:dyDescent="0.2">
      <c r="A198" s="20"/>
      <c r="B198" s="21"/>
      <c r="C198" s="24"/>
    </row>
    <row r="199" spans="1:3" x14ac:dyDescent="0.2">
      <c r="A199" s="20"/>
      <c r="B199" s="21"/>
      <c r="C199" s="24"/>
    </row>
    <row r="200" spans="1:3" x14ac:dyDescent="0.2">
      <c r="A200" s="20"/>
      <c r="B200" s="21"/>
      <c r="C200" s="24"/>
    </row>
    <row r="201" spans="1:3" x14ac:dyDescent="0.2">
      <c r="A201" s="20"/>
      <c r="B201" s="21"/>
      <c r="C201" s="24"/>
    </row>
    <row r="202" spans="1:3" x14ac:dyDescent="0.2">
      <c r="A202" s="20"/>
      <c r="B202" s="21"/>
      <c r="C202" s="24"/>
    </row>
    <row r="203" spans="1:3" x14ac:dyDescent="0.2">
      <c r="A203" s="21"/>
      <c r="B203" s="21"/>
      <c r="C203" s="24"/>
    </row>
    <row r="204" spans="1:3" x14ac:dyDescent="0.2">
      <c r="A204" s="21"/>
      <c r="B204" s="21"/>
      <c r="C204" s="24"/>
    </row>
    <row r="205" spans="1:3" x14ac:dyDescent="0.2">
      <c r="A205" s="21"/>
      <c r="B205" s="21"/>
      <c r="C205" s="24"/>
    </row>
    <row r="206" spans="1:3" x14ac:dyDescent="0.2">
      <c r="A206" s="79"/>
      <c r="B206" s="79"/>
      <c r="C206" s="81"/>
    </row>
    <row r="207" spans="1:3" x14ac:dyDescent="0.2">
      <c r="A207" s="79"/>
      <c r="B207" s="79"/>
      <c r="C207" s="81"/>
    </row>
    <row r="208" spans="1:3" x14ac:dyDescent="0.2">
      <c r="A208" s="79"/>
      <c r="B208" s="79"/>
      <c r="C208" s="81"/>
    </row>
    <row r="209" spans="1:3" x14ac:dyDescent="0.2">
      <c r="A209" s="79"/>
      <c r="B209" s="79"/>
      <c r="C209" s="81"/>
    </row>
    <row r="210" spans="1:3" x14ac:dyDescent="0.2">
      <c r="A210" s="79"/>
      <c r="B210" s="79"/>
      <c r="C210" s="81"/>
    </row>
    <row r="211" spans="1:3" x14ac:dyDescent="0.2">
      <c r="A211" s="79"/>
      <c r="B211" s="79"/>
      <c r="C211" s="81"/>
    </row>
    <row r="212" spans="1:3" x14ac:dyDescent="0.2">
      <c r="A212" s="79"/>
      <c r="B212" s="79"/>
      <c r="C212" s="79"/>
    </row>
    <row r="213" spans="1:3" x14ac:dyDescent="0.2">
      <c r="A213" s="79"/>
      <c r="B213" s="79"/>
      <c r="C213" s="79"/>
    </row>
    <row r="214" spans="1:3" x14ac:dyDescent="0.2">
      <c r="A214" s="79"/>
      <c r="B214" s="79"/>
      <c r="C214" s="79"/>
    </row>
  </sheetData>
  <mergeCells count="80">
    <mergeCell ref="J162:M162"/>
    <mergeCell ref="J165:L165"/>
    <mergeCell ref="A143:A148"/>
    <mergeCell ref="B143:B148"/>
    <mergeCell ref="C143:C148"/>
    <mergeCell ref="F143:F148"/>
    <mergeCell ref="A149:A154"/>
    <mergeCell ref="B149:B154"/>
    <mergeCell ref="C149:C154"/>
    <mergeCell ref="F149:F154"/>
    <mergeCell ref="A132:A139"/>
    <mergeCell ref="B132:B139"/>
    <mergeCell ref="C132:C139"/>
    <mergeCell ref="F132:F139"/>
    <mergeCell ref="A140:A142"/>
    <mergeCell ref="B140:B142"/>
    <mergeCell ref="C140:C142"/>
    <mergeCell ref="F140:F142"/>
    <mergeCell ref="A95:A101"/>
    <mergeCell ref="B95:B101"/>
    <mergeCell ref="C95:C101"/>
    <mergeCell ref="F95:F101"/>
    <mergeCell ref="A102:A131"/>
    <mergeCell ref="B102:B131"/>
    <mergeCell ref="C102:C131"/>
    <mergeCell ref="F102:F131"/>
    <mergeCell ref="A84:A85"/>
    <mergeCell ref="B84:B85"/>
    <mergeCell ref="C84:C85"/>
    <mergeCell ref="F84:F85"/>
    <mergeCell ref="A86:A94"/>
    <mergeCell ref="B86:B94"/>
    <mergeCell ref="C86:C94"/>
    <mergeCell ref="F86:F94"/>
    <mergeCell ref="A79:A81"/>
    <mergeCell ref="B79:B81"/>
    <mergeCell ref="C79:C81"/>
    <mergeCell ref="F79:F81"/>
    <mergeCell ref="A82:A83"/>
    <mergeCell ref="B82:B83"/>
    <mergeCell ref="C82:C83"/>
    <mergeCell ref="F82:F83"/>
    <mergeCell ref="A69:A74"/>
    <mergeCell ref="B69:B74"/>
    <mergeCell ref="C69:C74"/>
    <mergeCell ref="F69:F74"/>
    <mergeCell ref="A75:A78"/>
    <mergeCell ref="B75:B78"/>
    <mergeCell ref="C75:C78"/>
    <mergeCell ref="F75:F78"/>
    <mergeCell ref="A61:A65"/>
    <mergeCell ref="B61:B65"/>
    <mergeCell ref="C61:C65"/>
    <mergeCell ref="F61:F65"/>
    <mergeCell ref="A66:A68"/>
    <mergeCell ref="B66:B68"/>
    <mergeCell ref="C66:C68"/>
    <mergeCell ref="F66:F68"/>
    <mergeCell ref="A45:A51"/>
    <mergeCell ref="B45:B51"/>
    <mergeCell ref="C45:C51"/>
    <mergeCell ref="F45:F51"/>
    <mergeCell ref="A52:A60"/>
    <mergeCell ref="B52:B60"/>
    <mergeCell ref="C52:C60"/>
    <mergeCell ref="F52:F60"/>
    <mergeCell ref="A17:A37"/>
    <mergeCell ref="B17:B37"/>
    <mergeCell ref="C17:C37"/>
    <mergeCell ref="F17:F37"/>
    <mergeCell ref="A38:A44"/>
    <mergeCell ref="B38:B44"/>
    <mergeCell ref="C38:C44"/>
    <mergeCell ref="F38:F44"/>
    <mergeCell ref="A1:R1"/>
    <mergeCell ref="S1:T1"/>
    <mergeCell ref="A3:A16"/>
    <mergeCell ref="B3:B16"/>
    <mergeCell ref="C3:C16"/>
    <mergeCell ref="F3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</vt:lpstr>
      <vt:lpstr>NCR</vt:lpstr>
      <vt:lpstr>RAj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Singh</dc:creator>
  <cp:lastModifiedBy>Akhil Singh</cp:lastModifiedBy>
  <dcterms:created xsi:type="dcterms:W3CDTF">2025-06-18T02:09:15Z</dcterms:created>
  <dcterms:modified xsi:type="dcterms:W3CDTF">2025-06-18T02:18:28Z</dcterms:modified>
</cp:coreProperties>
</file>